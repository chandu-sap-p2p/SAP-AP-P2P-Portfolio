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ndrasekhar\Downloads\"/>
    </mc:Choice>
  </mc:AlternateContent>
  <xr:revisionPtr revIDLastSave="0" documentId="8_{CB723B34-C587-432E-A0B0-2F45CFAA0415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Dashboard" sheetId="1" r:id="rId1"/>
    <sheet name="Invoice Tracker" sheetId="2" r:id="rId2"/>
    <sheet name="Read Me" sheetId="3" r:id="rId3"/>
  </sheets>
  <calcPr calcId="191029"/>
</workbook>
</file>

<file path=xl/calcChain.xml><?xml version="1.0" encoding="utf-8"?>
<calcChain xmlns="http://schemas.openxmlformats.org/spreadsheetml/2006/main">
  <c r="M101" i="2" l="1"/>
  <c r="L101" i="2"/>
  <c r="L100" i="2"/>
  <c r="M100" i="2" s="1"/>
  <c r="M99" i="2"/>
  <c r="L99" i="2"/>
  <c r="L98" i="2"/>
  <c r="M98" i="2" s="1"/>
  <c r="L97" i="2"/>
  <c r="M97" i="2" s="1"/>
  <c r="L96" i="2"/>
  <c r="M96" i="2" s="1"/>
  <c r="M95" i="2"/>
  <c r="L95" i="2"/>
  <c r="L94" i="2"/>
  <c r="M94" i="2" s="1"/>
  <c r="L93" i="2"/>
  <c r="M93" i="2" s="1"/>
  <c r="L92" i="2"/>
  <c r="M92" i="2" s="1"/>
  <c r="M91" i="2"/>
  <c r="L91" i="2"/>
  <c r="M90" i="2"/>
  <c r="L90" i="2"/>
  <c r="L89" i="2"/>
  <c r="M89" i="2" s="1"/>
  <c r="L88" i="2"/>
  <c r="M88" i="2" s="1"/>
  <c r="L87" i="2"/>
  <c r="M87" i="2" s="1"/>
  <c r="L86" i="2"/>
  <c r="M86" i="2" s="1"/>
  <c r="L85" i="2"/>
  <c r="M85" i="2" s="1"/>
  <c r="M84" i="2"/>
  <c r="L84" i="2"/>
  <c r="L83" i="2"/>
  <c r="M83" i="2" s="1"/>
  <c r="L82" i="2"/>
  <c r="M82" i="2" s="1"/>
  <c r="M81" i="2"/>
  <c r="L81" i="2"/>
  <c r="L80" i="2"/>
  <c r="M80" i="2" s="1"/>
  <c r="M79" i="2"/>
  <c r="L79" i="2"/>
  <c r="L78" i="2"/>
  <c r="M78" i="2" s="1"/>
  <c r="M77" i="2"/>
  <c r="L77" i="2"/>
  <c r="L76" i="2"/>
  <c r="M76" i="2" s="1"/>
  <c r="L75" i="2"/>
  <c r="M75" i="2" s="1"/>
  <c r="M74" i="2"/>
  <c r="L74" i="2"/>
  <c r="L73" i="2"/>
  <c r="M73" i="2" s="1"/>
  <c r="M72" i="2"/>
  <c r="L72" i="2"/>
  <c r="L71" i="2"/>
  <c r="M71" i="2" s="1"/>
  <c r="L70" i="2"/>
  <c r="M70" i="2" s="1"/>
  <c r="L69" i="2"/>
  <c r="M69" i="2" s="1"/>
  <c r="M68" i="2"/>
  <c r="L68" i="2"/>
  <c r="M67" i="2"/>
  <c r="L67" i="2"/>
  <c r="L66" i="2"/>
  <c r="M66" i="2" s="1"/>
  <c r="L65" i="2"/>
  <c r="M65" i="2" s="1"/>
  <c r="L64" i="2"/>
  <c r="M64" i="2" s="1"/>
  <c r="M63" i="2"/>
  <c r="L63" i="2"/>
  <c r="L62" i="2"/>
  <c r="M62" i="2" s="1"/>
  <c r="M61" i="2"/>
  <c r="L61" i="2"/>
  <c r="L60" i="2"/>
  <c r="M60" i="2" s="1"/>
  <c r="L59" i="2"/>
  <c r="M59" i="2" s="1"/>
  <c r="M58" i="2"/>
  <c r="L58" i="2"/>
  <c r="L57" i="2"/>
  <c r="M57" i="2" s="1"/>
  <c r="L56" i="2"/>
  <c r="M56" i="2" s="1"/>
  <c r="L55" i="2"/>
  <c r="M55" i="2" s="1"/>
  <c r="L54" i="2"/>
  <c r="M54" i="2" s="1"/>
  <c r="L53" i="2"/>
  <c r="M53" i="2" s="1"/>
  <c r="M52" i="2"/>
  <c r="L52" i="2"/>
  <c r="L51" i="2"/>
  <c r="M51" i="2" s="1"/>
  <c r="M50" i="2"/>
  <c r="L50" i="2"/>
  <c r="L49" i="2"/>
  <c r="M49" i="2" s="1"/>
  <c r="M48" i="2"/>
  <c r="L48" i="2"/>
  <c r="M47" i="2"/>
  <c r="L47" i="2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M38" i="2"/>
  <c r="L38" i="2"/>
  <c r="L37" i="2"/>
  <c r="M37" i="2" s="1"/>
  <c r="M36" i="2"/>
  <c r="L36" i="2"/>
  <c r="L35" i="2"/>
  <c r="M35" i="2" s="1"/>
  <c r="L34" i="2"/>
  <c r="M34" i="2" s="1"/>
  <c r="L33" i="2"/>
  <c r="M33" i="2" s="1"/>
  <c r="M32" i="2"/>
  <c r="L32" i="2"/>
  <c r="L31" i="2"/>
  <c r="M31" i="2" s="1"/>
  <c r="L30" i="2"/>
  <c r="M30" i="2" s="1"/>
  <c r="L29" i="2"/>
  <c r="M29" i="2" s="1"/>
  <c r="L28" i="2"/>
  <c r="M28" i="2" s="1"/>
  <c r="L27" i="2"/>
  <c r="M27" i="2" s="1"/>
  <c r="M26" i="2"/>
  <c r="L26" i="2"/>
  <c r="M25" i="2"/>
  <c r="L25" i="2"/>
  <c r="L24" i="2"/>
  <c r="M24" i="2" s="1"/>
  <c r="M23" i="2"/>
  <c r="L23" i="2"/>
  <c r="M22" i="2"/>
  <c r="L22" i="2"/>
  <c r="L21" i="2"/>
  <c r="M21" i="2" s="1"/>
  <c r="M20" i="2"/>
  <c r="L20" i="2"/>
  <c r="L19" i="2"/>
  <c r="M19" i="2" s="1"/>
  <c r="L18" i="2"/>
  <c r="M18" i="2" s="1"/>
  <c r="L17" i="2"/>
  <c r="M17" i="2" s="1"/>
  <c r="M16" i="2"/>
  <c r="L16" i="2"/>
  <c r="M15" i="2"/>
  <c r="L15" i="2"/>
  <c r="M14" i="2"/>
  <c r="L14" i="2"/>
  <c r="M13" i="2"/>
  <c r="L13" i="2"/>
  <c r="L12" i="2"/>
  <c r="M12" i="2" s="1"/>
  <c r="L11" i="2"/>
  <c r="M11" i="2" s="1"/>
  <c r="L10" i="2"/>
  <c r="M10" i="2" s="1"/>
  <c r="L9" i="2"/>
  <c r="M9" i="2" s="1"/>
  <c r="M8" i="2"/>
  <c r="L8" i="2"/>
  <c r="L7" i="2"/>
  <c r="M7" i="2" s="1"/>
  <c r="M6" i="2"/>
  <c r="L6" i="2"/>
  <c r="M5" i="2"/>
  <c r="L5" i="2"/>
  <c r="L4" i="2"/>
  <c r="M4" i="2" s="1"/>
  <c r="M3" i="2"/>
  <c r="L3" i="2"/>
  <c r="L2" i="2"/>
  <c r="M2" i="2" s="1"/>
  <c r="C13" i="1"/>
  <c r="B13" i="1"/>
  <c r="C12" i="1"/>
  <c r="B12" i="1"/>
  <c r="C11" i="1"/>
  <c r="B11" i="1"/>
  <c r="C10" i="1"/>
  <c r="B10" i="1"/>
  <c r="G5" i="1"/>
  <c r="E5" i="1"/>
  <c r="C5" i="1"/>
  <c r="A5" i="1"/>
  <c r="G14" i="1" l="1"/>
  <c r="F14" i="1"/>
  <c r="G13" i="1"/>
  <c r="G12" i="1"/>
  <c r="G11" i="1"/>
  <c r="G10" i="1"/>
  <c r="F13" i="1"/>
  <c r="F12" i="1"/>
  <c r="F11" i="1"/>
  <c r="F10" i="1"/>
</calcChain>
</file>

<file path=xl/sharedStrings.xml><?xml version="1.0" encoding="utf-8"?>
<sst xmlns="http://schemas.openxmlformats.org/spreadsheetml/2006/main" count="710" uniqueCount="306">
  <si>
    <t>SAP ACCOUNTS PAYABLE | INVOICE TRACKING DASHBOARD</t>
  </si>
  <si>
    <t>Demonstration workbook | Fictional data only | Ageing formulas use TODAY()</t>
  </si>
  <si>
    <t>Total Invoices</t>
  </si>
  <si>
    <t>Total Invoice Value</t>
  </si>
  <si>
    <t>Open / Blocked / Parked</t>
  </si>
  <si>
    <t>Blocked Invoices</t>
  </si>
  <si>
    <t>Invoice Status</t>
  </si>
  <si>
    <t>Outstanding Ageing</t>
  </si>
  <si>
    <t>Status</t>
  </si>
  <si>
    <t>Count</t>
  </si>
  <si>
    <t>Invoice Value (INR)</t>
  </si>
  <si>
    <t>Ageing Bucket</t>
  </si>
  <si>
    <t>Outstanding (INR)</t>
  </si>
  <si>
    <t>Open</t>
  </si>
  <si>
    <t>Not Due</t>
  </si>
  <si>
    <t>Blocked</t>
  </si>
  <si>
    <t>1-30 Days</t>
  </si>
  <si>
    <t>Paid</t>
  </si>
  <si>
    <t>31-60 Days</t>
  </si>
  <si>
    <t>Parked</t>
  </si>
  <si>
    <t>61-90 Days</t>
  </si>
  <si>
    <t>90+ Days</t>
  </si>
  <si>
    <t>Invoice ID</t>
  </si>
  <si>
    <t>Vendor ID</t>
  </si>
  <si>
    <t>Vendor Name</t>
  </si>
  <si>
    <t>Invoice Type</t>
  </si>
  <si>
    <t>PO Number</t>
  </si>
  <si>
    <t>GR Document</t>
  </si>
  <si>
    <t>Invoice Date</t>
  </si>
  <si>
    <t>Due Date</t>
  </si>
  <si>
    <t>Invoice Amount (INR)</t>
  </si>
  <si>
    <t>Exception / Block Reason</t>
  </si>
  <si>
    <t>Days Past Due</t>
  </si>
  <si>
    <t>INV-2026-0001</t>
  </si>
  <si>
    <t>V1007</t>
  </si>
  <si>
    <t>Granite Packaging</t>
  </si>
  <si>
    <t>PO-Based</t>
  </si>
  <si>
    <t>4581283135</t>
  </si>
  <si>
    <t>4939874144</t>
  </si>
  <si>
    <t>INV-2026-0002</t>
  </si>
  <si>
    <t>4520023211</t>
  </si>
  <si>
    <t>4998033996</t>
  </si>
  <si>
    <t>INV-2026-0003</t>
  </si>
  <si>
    <t>V1006</t>
  </si>
  <si>
    <t>Fairview Logistics</t>
  </si>
  <si>
    <t>Non-PO</t>
  </si>
  <si>
    <t>INV-2026-0004</t>
  </si>
  <si>
    <t>V1005</t>
  </si>
  <si>
    <t>Evergreen IT Services</t>
  </si>
  <si>
    <t>4571439057</t>
  </si>
  <si>
    <t>4955199941</t>
  </si>
  <si>
    <t>INV-2026-0005</t>
  </si>
  <si>
    <t>V1002</t>
  </si>
  <si>
    <t>BluePeak Services</t>
  </si>
  <si>
    <t>4586406998</t>
  </si>
  <si>
    <t>4965110827</t>
  </si>
  <si>
    <t>INV-2026-0006</t>
  </si>
  <si>
    <t>V1008</t>
  </si>
  <si>
    <t>Harbor Utilities</t>
  </si>
  <si>
    <t>INV-2026-0007</t>
  </si>
  <si>
    <t>4558632342</t>
  </si>
  <si>
    <t>4915478429</t>
  </si>
  <si>
    <t>INV-2026-0008</t>
  </si>
  <si>
    <t>INV-2026-0009</t>
  </si>
  <si>
    <t>4553096744</t>
  </si>
  <si>
    <t>4940975194</t>
  </si>
  <si>
    <t>Missing GR</t>
  </si>
  <si>
    <t>INV-2026-0010</t>
  </si>
  <si>
    <t>4566995027</t>
  </si>
  <si>
    <t>Missing documentation</t>
  </si>
  <si>
    <t>INV-2026-0011</t>
  </si>
  <si>
    <t>V1001</t>
  </si>
  <si>
    <t>Aster Office Supplies</t>
  </si>
  <si>
    <t>INV-2026-0012</t>
  </si>
  <si>
    <t>V1004</t>
  </si>
  <si>
    <t>Delta Facilities</t>
  </si>
  <si>
    <t>4589527644</t>
  </si>
  <si>
    <t>4999162148</t>
  </si>
  <si>
    <t>INV-2026-0013</t>
  </si>
  <si>
    <t>4585292864</t>
  </si>
  <si>
    <t>4923044035</t>
  </si>
  <si>
    <t>INV-2026-0014</t>
  </si>
  <si>
    <t>INV-2026-0015</t>
  </si>
  <si>
    <t>V1003</t>
  </si>
  <si>
    <t>Cedar Industrial</t>
  </si>
  <si>
    <t>INV-2026-0016</t>
  </si>
  <si>
    <t>4568067144</t>
  </si>
  <si>
    <t>4941181182</t>
  </si>
  <si>
    <t>INV-2026-0017</t>
  </si>
  <si>
    <t>4523209775</t>
  </si>
  <si>
    <t>INV-2026-0018</t>
  </si>
  <si>
    <t>V1010</t>
  </si>
  <si>
    <t>Juniper Components</t>
  </si>
  <si>
    <t>Duplicate check</t>
  </si>
  <si>
    <t>INV-2026-0019</t>
  </si>
  <si>
    <t>4589096478</t>
  </si>
  <si>
    <t>4959883786</t>
  </si>
  <si>
    <t>INV-2026-0020</t>
  </si>
  <si>
    <t>4555280153</t>
  </si>
  <si>
    <t>4955094784</t>
  </si>
  <si>
    <t>INV-2026-0021</t>
  </si>
  <si>
    <t>4558960101</t>
  </si>
  <si>
    <t>4967409903</t>
  </si>
  <si>
    <t>INV-2026-0022</t>
  </si>
  <si>
    <t>4594193898</t>
  </si>
  <si>
    <t>4926521269</t>
  </si>
  <si>
    <t>INV-2026-0023</t>
  </si>
  <si>
    <t>INV-2026-0024</t>
  </si>
  <si>
    <t>4577684323</t>
  </si>
  <si>
    <t>4977729470</t>
  </si>
  <si>
    <t>INV-2026-0025</t>
  </si>
  <si>
    <t>4575571349</t>
  </si>
  <si>
    <t>4927902193</t>
  </si>
  <si>
    <t>INV-2026-0026</t>
  </si>
  <si>
    <t>4574286122</t>
  </si>
  <si>
    <t>4968904834</t>
  </si>
  <si>
    <t>INV-2026-0027</t>
  </si>
  <si>
    <t>4526192605</t>
  </si>
  <si>
    <t>4922997261</t>
  </si>
  <si>
    <t>Missing approval</t>
  </si>
  <si>
    <t>INV-2026-0028</t>
  </si>
  <si>
    <t>4554208959</t>
  </si>
  <si>
    <t>4921528726</t>
  </si>
  <si>
    <t>Quantity variance</t>
  </si>
  <si>
    <t>INV-2026-0029</t>
  </si>
  <si>
    <t>V1009</t>
  </si>
  <si>
    <t>Indigo Consulting</t>
  </si>
  <si>
    <t>INV-2026-0030</t>
  </si>
  <si>
    <t>4590485719</t>
  </si>
  <si>
    <t>4983419945</t>
  </si>
  <si>
    <t>Price variance</t>
  </si>
  <si>
    <t>INV-2026-0031</t>
  </si>
  <si>
    <t>4596850832</t>
  </si>
  <si>
    <t>4961610506</t>
  </si>
  <si>
    <t>INV-2026-0032</t>
  </si>
  <si>
    <t>4528065605</t>
  </si>
  <si>
    <t>4985424707</t>
  </si>
  <si>
    <t>INV-2026-0033</t>
  </si>
  <si>
    <t>4532900947</t>
  </si>
  <si>
    <t>4977125890</t>
  </si>
  <si>
    <t>INV-2026-0034</t>
  </si>
  <si>
    <t>4510253011</t>
  </si>
  <si>
    <t>INV-2026-0035</t>
  </si>
  <si>
    <t>4580406943</t>
  </si>
  <si>
    <t>4955568454</t>
  </si>
  <si>
    <t>INV-2026-0036</t>
  </si>
  <si>
    <t>INV-2026-0037</t>
  </si>
  <si>
    <t>4582082801</t>
  </si>
  <si>
    <t>4965413609</t>
  </si>
  <si>
    <t>INV-2026-0038</t>
  </si>
  <si>
    <t>4558620273</t>
  </si>
  <si>
    <t>INV-2026-0039</t>
  </si>
  <si>
    <t>4559129009</t>
  </si>
  <si>
    <t>4961776587</t>
  </si>
  <si>
    <t>INV-2026-0040</t>
  </si>
  <si>
    <t>4518187214</t>
  </si>
  <si>
    <t>4928538689</t>
  </si>
  <si>
    <t>INV-2026-0041</t>
  </si>
  <si>
    <t>4589686361</t>
  </si>
  <si>
    <t>4911611500</t>
  </si>
  <si>
    <t>INV-2026-0042</t>
  </si>
  <si>
    <t>INV-2026-0043</t>
  </si>
  <si>
    <t>4528739801</t>
  </si>
  <si>
    <t>INV-2026-0044</t>
  </si>
  <si>
    <t>4565577906</t>
  </si>
  <si>
    <t>4946730492</t>
  </si>
  <si>
    <t>INV-2026-0045</t>
  </si>
  <si>
    <t>4582722355</t>
  </si>
  <si>
    <t>4961668713</t>
  </si>
  <si>
    <t>INV-2026-0046</t>
  </si>
  <si>
    <t>4595301856</t>
  </si>
  <si>
    <t>4957471605</t>
  </si>
  <si>
    <t>INV-2026-0047</t>
  </si>
  <si>
    <t>INV-2026-0048</t>
  </si>
  <si>
    <t>4552445799</t>
  </si>
  <si>
    <t>4959853068</t>
  </si>
  <si>
    <t>INV-2026-0049</t>
  </si>
  <si>
    <t>INV-2026-0050</t>
  </si>
  <si>
    <t>4534297403</t>
  </si>
  <si>
    <t>4949838266</t>
  </si>
  <si>
    <t>INV-2026-0051</t>
  </si>
  <si>
    <t>4591699736</t>
  </si>
  <si>
    <t>4945449949</t>
  </si>
  <si>
    <t>INV-2026-0052</t>
  </si>
  <si>
    <t>4573888238</t>
  </si>
  <si>
    <t>4960700143</t>
  </si>
  <si>
    <t>INV-2026-0053</t>
  </si>
  <si>
    <t>4540275440</t>
  </si>
  <si>
    <t>4916703316</t>
  </si>
  <si>
    <t>INV-2026-0054</t>
  </si>
  <si>
    <t>INV-2026-0055</t>
  </si>
  <si>
    <t>INV-2026-0056</t>
  </si>
  <si>
    <t>4548922046</t>
  </si>
  <si>
    <t>4918825456</t>
  </si>
  <si>
    <t>INV-2026-0057</t>
  </si>
  <si>
    <t>4511732484</t>
  </si>
  <si>
    <t>INV-2026-0058</t>
  </si>
  <si>
    <t>4511708670</t>
  </si>
  <si>
    <t>4937483463</t>
  </si>
  <si>
    <t>INV-2026-0059</t>
  </si>
  <si>
    <t>4564954724</t>
  </si>
  <si>
    <t>4919931129</t>
  </si>
  <si>
    <t>INV-2026-0060</t>
  </si>
  <si>
    <t>4549114463</t>
  </si>
  <si>
    <t>4942509030</t>
  </si>
  <si>
    <t>INV-2026-0061</t>
  </si>
  <si>
    <t>INV-2026-0062</t>
  </si>
  <si>
    <t>4572066645</t>
  </si>
  <si>
    <t>INV-2026-0063</t>
  </si>
  <si>
    <t>4539680147</t>
  </si>
  <si>
    <t>4959201424</t>
  </si>
  <si>
    <t>INV-2026-0064</t>
  </si>
  <si>
    <t>4519301922</t>
  </si>
  <si>
    <t>4919026125</t>
  </si>
  <si>
    <t>INV-2026-0065</t>
  </si>
  <si>
    <t>INV-2026-0066</t>
  </si>
  <si>
    <t>4551093398</t>
  </si>
  <si>
    <t>INV-2026-0067</t>
  </si>
  <si>
    <t>INV-2026-0068</t>
  </si>
  <si>
    <t>INV-2026-0069</t>
  </si>
  <si>
    <t>INV-2026-0070</t>
  </si>
  <si>
    <t>4562746581</t>
  </si>
  <si>
    <t>4935037052</t>
  </si>
  <si>
    <t>INV-2026-0071</t>
  </si>
  <si>
    <t>4528094198</t>
  </si>
  <si>
    <t>4996299655</t>
  </si>
  <si>
    <t>INV-2026-0072</t>
  </si>
  <si>
    <t>INV-2026-0073</t>
  </si>
  <si>
    <t>4588587935</t>
  </si>
  <si>
    <t>4954412368</t>
  </si>
  <si>
    <t>INV-2026-0074</t>
  </si>
  <si>
    <t>4593150754</t>
  </si>
  <si>
    <t>INV-2026-0075</t>
  </si>
  <si>
    <t>4572450518</t>
  </si>
  <si>
    <t>INV-2026-0076</t>
  </si>
  <si>
    <t>INV-2026-0077</t>
  </si>
  <si>
    <t>4511901964</t>
  </si>
  <si>
    <t>4921963262</t>
  </si>
  <si>
    <t>INV-2026-0078</t>
  </si>
  <si>
    <t>4526582696</t>
  </si>
  <si>
    <t>INV-2026-0079</t>
  </si>
  <si>
    <t>4599857479</t>
  </si>
  <si>
    <t>INV-2026-0080</t>
  </si>
  <si>
    <t>4545760881</t>
  </si>
  <si>
    <t>4962795835</t>
  </si>
  <si>
    <t>INV-2026-0081</t>
  </si>
  <si>
    <t>4531106392</t>
  </si>
  <si>
    <t>4915870247</t>
  </si>
  <si>
    <t>INV-2026-0082</t>
  </si>
  <si>
    <t>4548526831</t>
  </si>
  <si>
    <t>4979291547</t>
  </si>
  <si>
    <t>INV-2026-0083</t>
  </si>
  <si>
    <t>4587650034</t>
  </si>
  <si>
    <t>4949707083</t>
  </si>
  <si>
    <t>INV-2026-0084</t>
  </si>
  <si>
    <t>4565734098</t>
  </si>
  <si>
    <t>INV-2026-0085</t>
  </si>
  <si>
    <t>4546665901</t>
  </si>
  <si>
    <t>4995671094</t>
  </si>
  <si>
    <t>INV-2026-0086</t>
  </si>
  <si>
    <t>4563213015</t>
  </si>
  <si>
    <t>4974035199</t>
  </si>
  <si>
    <t>INV-2026-0087</t>
  </si>
  <si>
    <t>4556505639</t>
  </si>
  <si>
    <t>INV-2026-0088</t>
  </si>
  <si>
    <t>4551861507</t>
  </si>
  <si>
    <t>4968584968</t>
  </si>
  <si>
    <t>INV-2026-0089</t>
  </si>
  <si>
    <t>4555025743</t>
  </si>
  <si>
    <t>4919132959</t>
  </si>
  <si>
    <t>INV-2026-0090</t>
  </si>
  <si>
    <t>INV-2026-0091</t>
  </si>
  <si>
    <t>4520684991</t>
  </si>
  <si>
    <t>4942132306</t>
  </si>
  <si>
    <t>INV-2026-0092</t>
  </si>
  <si>
    <t>INV-2026-0093</t>
  </si>
  <si>
    <t>4530020668</t>
  </si>
  <si>
    <t>4912358401</t>
  </si>
  <si>
    <t>INV-2026-0094</t>
  </si>
  <si>
    <t>4530019461</t>
  </si>
  <si>
    <t>4968018067</t>
  </si>
  <si>
    <t>INV-2026-0095</t>
  </si>
  <si>
    <t>INV-2026-0096</t>
  </si>
  <si>
    <t>4585842636</t>
  </si>
  <si>
    <t>4985568327</t>
  </si>
  <si>
    <t>INV-2026-0097</t>
  </si>
  <si>
    <t>INV-2026-0098</t>
  </si>
  <si>
    <t>4565411895</t>
  </si>
  <si>
    <t>4922384995</t>
  </si>
  <si>
    <t>INV-2026-0099</t>
  </si>
  <si>
    <t>INV-2026-0100</t>
  </si>
  <si>
    <t>4584991508</t>
  </si>
  <si>
    <t>4940091822</t>
  </si>
  <si>
    <t>PROJECT GUIDE — SAP AP INVOICE TRACKING</t>
  </si>
  <si>
    <t>Purpose</t>
  </si>
  <si>
    <t>Demonstrate invoice monitoring, ageing analysis, status reporting, and exception tracking for an Accounts Payable process.</t>
  </si>
  <si>
    <t>Data</t>
  </si>
  <si>
    <t>100 fictional invoices and fictional vendor names. No real company or supplier data is used.</t>
  </si>
  <si>
    <t>How to use</t>
  </si>
  <si>
    <t>Open Invoice Tracker and filter by Status, Invoice Type, Vendor, or Ageing Bucket.</t>
  </si>
  <si>
    <t>Ageing logic</t>
  </si>
  <si>
    <t>Days Past Due and Ageing Bucket use TODAY(). Paid invoices are labelled Paid and excluded from outstanding ageing value.</t>
  </si>
  <si>
    <t>Dashboard</t>
  </si>
  <si>
    <t>KPI cards, status summaries, ageing summaries, and a chart use Excel formulas. If formulas show blank values, open in desktop Excel and recalculate.</t>
  </si>
  <si>
    <t>Important</t>
  </si>
  <si>
    <t>This is a portfolio simulation, not a live SAP extract. Actual business rules and SAP configuration can differ by organization.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</si>
</sst>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\₹#,##0.00"/>
    <numFmt numFmtId="167" formatCode="\₹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4"/>
      <color rgb="FF17365D"/>
      <name val="Calibri"/>
    </font>
    <font>
      <b/>
      <sz val="11"/>
      <color rgb="FF17365D"/>
      <name val="Calibri"/>
    </font>
    <font>
      <b/>
      <sz val="15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167" fontId="4" fillId="4" borderId="0" xfId="0" applyNumberFormat="1" applyFont="1" applyFill="1" applyAlignment="1">
      <alignment horizontal="center"/>
    </xf>
    <xf numFmtId="0" fontId="1" fillId="5" borderId="0" xfId="0" applyFont="1" applyFill="1"/>
    <xf numFmtId="0" fontId="5" fillId="4" borderId="0" xfId="0" applyFont="1" applyFill="1"/>
    <xf numFmtId="167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5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Invoice Count by Status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Dashboard!$A$10:$A$13</c:f>
              <c:strCache>
                <c:ptCount val="4"/>
                <c:pt idx="0">
                  <c:v>Open</c:v>
                </c:pt>
                <c:pt idx="1">
                  <c:v>Blocked</c:v>
                </c:pt>
                <c:pt idx="2">
                  <c:v>Paid</c:v>
                </c:pt>
                <c:pt idx="3">
                  <c:v>Parked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4"/>
                <c:pt idx="0">
                  <c:v>35</c:v>
                </c:pt>
                <c:pt idx="1">
                  <c:v>21</c:v>
                </c:pt>
                <c:pt idx="2">
                  <c:v>36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0-469A-9117-CA3E4EFA8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InvoiceTable" displayName="APInvoiceTable" ref="A1:M101">
  <autoFilter ref="A1:M101" xr:uid="{00000000-0009-0000-0100-000001000000}"/>
  <tableColumns count="13">
    <tableColumn id="1" xr3:uid="{00000000-0010-0000-0000-000001000000}" name="Invoice ID"/>
    <tableColumn id="2" xr3:uid="{00000000-0010-0000-0000-000002000000}" name="Vendor ID"/>
    <tableColumn id="3" xr3:uid="{00000000-0010-0000-0000-000003000000}" name="Vendor Name"/>
    <tableColumn id="4" xr3:uid="{00000000-0010-0000-0000-000004000000}" name="Invoice Type"/>
    <tableColumn id="5" xr3:uid="{00000000-0010-0000-0000-000005000000}" name="PO Number"/>
    <tableColumn id="6" xr3:uid="{00000000-0010-0000-0000-000006000000}" name="GR Document"/>
    <tableColumn id="7" xr3:uid="{00000000-0010-0000-0000-000007000000}" name="Invoice Date"/>
    <tableColumn id="8" xr3:uid="{00000000-0010-0000-0000-000008000000}" name="Due Date"/>
    <tableColumn id="9" xr3:uid="{00000000-0010-0000-0000-000009000000}" name="Invoice Amount (INR)"/>
    <tableColumn id="10" xr3:uid="{00000000-0010-0000-0000-00000A000000}" name="Status"/>
    <tableColumn id="11" xr3:uid="{00000000-0010-0000-0000-00000B000000}" name="Exception / Block Reason"/>
    <tableColumn id="12" xr3:uid="{00000000-0010-0000-0000-00000C000000}" name="Days Past Due"/>
    <tableColumn id="13" xr3:uid="{00000000-0010-0000-0000-00000D000000}" name="Ageing Buc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showGridLines="0" tabSelected="1" zoomScale="82" zoomScaleNormal="82" workbookViewId="0">
      <pane ySplit="3" topLeftCell="A10" activePane="bottomLeft" state="frozen"/>
      <selection pane="bottomLeft"/>
    </sheetView>
  </sheetViews>
  <sheetFormatPr defaultRowHeight="14" x14ac:dyDescent="0.3"/>
  <cols>
    <col min="1" max="1" width="23" customWidth="1"/>
    <col min="2" max="2" width="15" customWidth="1"/>
    <col min="3" max="3" width="23" customWidth="1"/>
    <col min="4" max="4" width="4" customWidth="1"/>
    <col min="5" max="5" width="22" customWidth="1"/>
    <col min="6" max="6" width="14" customWidth="1"/>
    <col min="7" max="7" width="24" customWidth="1"/>
  </cols>
  <sheetData>
    <row r="1" spans="1:7" ht="32" customHeight="1" x14ac:dyDescent="0.45">
      <c r="A1" s="15" t="s">
        <v>0</v>
      </c>
      <c r="B1" s="14"/>
      <c r="C1" s="14"/>
      <c r="D1" s="14"/>
      <c r="E1" s="14"/>
      <c r="F1" s="14"/>
      <c r="G1" s="14"/>
    </row>
    <row r="2" spans="1:7" x14ac:dyDescent="0.3">
      <c r="A2" s="13" t="s">
        <v>1</v>
      </c>
      <c r="B2" s="14"/>
      <c r="C2" s="14"/>
      <c r="D2" s="14"/>
      <c r="E2" s="14"/>
      <c r="F2" s="14"/>
      <c r="G2" s="14"/>
    </row>
    <row r="4" spans="1:7" ht="32" customHeight="1" x14ac:dyDescent="0.3">
      <c r="A4" s="1" t="s">
        <v>2</v>
      </c>
      <c r="C4" s="1" t="s">
        <v>3</v>
      </c>
      <c r="E4" s="1" t="s">
        <v>4</v>
      </c>
      <c r="G4" s="1" t="s">
        <v>5</v>
      </c>
    </row>
    <row r="5" spans="1:7" ht="29.95" customHeight="1" x14ac:dyDescent="0.4">
      <c r="A5" s="2">
        <f>COUNTA('Invoice Tracker'!A2:A101)</f>
        <v>100</v>
      </c>
      <c r="C5" s="3">
        <f>SUM('Invoice Tracker'!I2:I101)</f>
        <v>8551562.1400000025</v>
      </c>
      <c r="E5" s="2">
        <f>COUNTIF('Invoice Tracker'!J2:J101,"Open")+COUNTIF('Invoice Tracker'!J2:J101,"Blocked")+COUNTIF('Invoice Tracker'!J2:J101,"Parked")</f>
        <v>64</v>
      </c>
      <c r="G5" s="2">
        <f>COUNTIF('Invoice Tracker'!J2:J101,"Blocked")</f>
        <v>21</v>
      </c>
    </row>
    <row r="8" spans="1:7" x14ac:dyDescent="0.3">
      <c r="A8" s="4" t="s">
        <v>6</v>
      </c>
      <c r="E8" s="4" t="s">
        <v>7</v>
      </c>
    </row>
    <row r="9" spans="1:7" x14ac:dyDescent="0.3">
      <c r="A9" s="5" t="s">
        <v>8</v>
      </c>
      <c r="B9" s="5" t="s">
        <v>9</v>
      </c>
      <c r="C9" s="5" t="s">
        <v>10</v>
      </c>
      <c r="E9" s="5" t="s">
        <v>11</v>
      </c>
      <c r="F9" s="5" t="s">
        <v>9</v>
      </c>
      <c r="G9" s="5" t="s">
        <v>12</v>
      </c>
    </row>
    <row r="10" spans="1:7" x14ac:dyDescent="0.3">
      <c r="A10" t="s">
        <v>13</v>
      </c>
      <c r="B10">
        <f>COUNTIF('Invoice Tracker'!J$2:J$101,A10)</f>
        <v>35</v>
      </c>
      <c r="C10" s="6">
        <f>SUMIF('Invoice Tracker'!J$2:J$101,A10,'Invoice Tracker'!I$2:I$101)</f>
        <v>2873392.52</v>
      </c>
      <c r="E10" t="s">
        <v>14</v>
      </c>
      <c r="F10">
        <f ca="1">COUNTIF('Invoice Tracker'!M$2:M$101,E10)</f>
        <v>16</v>
      </c>
      <c r="G10" s="6">
        <f ca="1">SUMIFS('Invoice Tracker'!I$2:I$101,'Invoice Tracker'!M$2:M$101,E10,'Invoice Tracker'!J$2:J$101,"&lt;&gt;Paid")</f>
        <v>1585458.5799999998</v>
      </c>
    </row>
    <row r="11" spans="1:7" x14ac:dyDescent="0.3">
      <c r="A11" t="s">
        <v>15</v>
      </c>
      <c r="B11">
        <f>COUNTIF('Invoice Tracker'!J$2:J$101,A11)</f>
        <v>21</v>
      </c>
      <c r="C11" s="6">
        <f>SUMIF('Invoice Tracker'!J$2:J$101,A11,'Invoice Tracker'!I$2:I$101)</f>
        <v>1905972.5899999999</v>
      </c>
      <c r="E11" t="s">
        <v>16</v>
      </c>
      <c r="F11">
        <f ca="1">COUNTIF('Invoice Tracker'!M$2:M$101,E11)</f>
        <v>14</v>
      </c>
      <c r="G11" s="6">
        <f ca="1">SUMIFS('Invoice Tracker'!I$2:I$101,'Invoice Tracker'!M$2:M$101,E11,'Invoice Tracker'!J$2:J$101,"&lt;&gt;Paid")</f>
        <v>959599.02</v>
      </c>
    </row>
    <row r="12" spans="1:7" x14ac:dyDescent="0.3">
      <c r="A12" t="s">
        <v>17</v>
      </c>
      <c r="B12">
        <f>COUNTIF('Invoice Tracker'!J$2:J$101,A12)</f>
        <v>36</v>
      </c>
      <c r="C12" s="6">
        <f>SUMIF('Invoice Tracker'!J$2:J$101,A12,'Invoice Tracker'!I$2:I$101)</f>
        <v>3113359.8599999994</v>
      </c>
      <c r="E12" t="s">
        <v>18</v>
      </c>
      <c r="F12">
        <f ca="1">COUNTIF('Invoice Tracker'!M$2:M$101,E12)</f>
        <v>11</v>
      </c>
      <c r="G12" s="6">
        <f ca="1">SUMIFS('Invoice Tracker'!I$2:I$101,'Invoice Tracker'!M$2:M$101,E12,'Invoice Tracker'!J$2:J$101,"&lt;&gt;Paid")</f>
        <v>500721.12000000005</v>
      </c>
    </row>
    <row r="13" spans="1:7" x14ac:dyDescent="0.3">
      <c r="A13" t="s">
        <v>19</v>
      </c>
      <c r="B13">
        <f>COUNTIF('Invoice Tracker'!J$2:J$101,A13)</f>
        <v>8</v>
      </c>
      <c r="C13" s="6">
        <f>SUMIF('Invoice Tracker'!J$2:J$101,A13,'Invoice Tracker'!I$2:I$101)</f>
        <v>658837.17000000004</v>
      </c>
      <c r="E13" t="s">
        <v>20</v>
      </c>
      <c r="F13">
        <f ca="1">COUNTIF('Invoice Tracker'!M$2:M$101,E13)</f>
        <v>15</v>
      </c>
      <c r="G13" s="6">
        <f ca="1">SUMIFS('Invoice Tracker'!I$2:I$101,'Invoice Tracker'!M$2:M$101,E13,'Invoice Tracker'!J$2:J$101,"&lt;&gt;Paid")</f>
        <v>1372431.62</v>
      </c>
    </row>
    <row r="14" spans="1:7" x14ac:dyDescent="0.3">
      <c r="E14" t="s">
        <v>21</v>
      </c>
      <c r="F14">
        <f ca="1">COUNTIF('Invoice Tracker'!M$2:M$101,E14)</f>
        <v>8</v>
      </c>
      <c r="G14" s="6">
        <f ca="1">SUMIFS('Invoice Tracker'!I$2:I$101,'Invoice Tracker'!M$2:M$101,E14,'Invoice Tracker'!J$2:J$101,"&lt;&gt;Paid")</f>
        <v>1019991.94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showGridLines="0" workbookViewId="0">
      <pane ySplit="1" topLeftCell="A2" activePane="bottomLeft" state="frozen"/>
      <selection pane="bottomLeft"/>
    </sheetView>
  </sheetViews>
  <sheetFormatPr defaultRowHeight="14" x14ac:dyDescent="0.3"/>
  <cols>
    <col min="1" max="1" width="17" customWidth="1"/>
    <col min="2" max="2" width="13" customWidth="1"/>
    <col min="3" max="3" width="26" customWidth="1"/>
    <col min="4" max="4" width="15" customWidth="1"/>
    <col min="5" max="6" width="17" customWidth="1"/>
    <col min="7" max="8" width="16" customWidth="1"/>
    <col min="9" max="9" width="22" customWidth="1"/>
    <col min="10" max="10" width="13" customWidth="1"/>
    <col min="11" max="11" width="28" customWidth="1"/>
    <col min="12" max="12" width="16" customWidth="1"/>
    <col min="13" max="13" width="18" customWidth="1"/>
  </cols>
  <sheetData>
    <row r="1" spans="1:13" ht="34" customHeight="1" x14ac:dyDescent="0.3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8</v>
      </c>
      <c r="K1" s="7" t="s">
        <v>31</v>
      </c>
      <c r="L1" s="7" t="s">
        <v>32</v>
      </c>
      <c r="M1" s="7" t="s">
        <v>11</v>
      </c>
    </row>
    <row r="2" spans="1:13" x14ac:dyDescent="0.3">
      <c r="A2" s="8" t="s">
        <v>33</v>
      </c>
      <c r="B2" s="8" t="s">
        <v>34</v>
      </c>
      <c r="C2" s="8" t="s">
        <v>35</v>
      </c>
      <c r="D2" s="8" t="s">
        <v>36</v>
      </c>
      <c r="E2" s="8" t="s">
        <v>37</v>
      </c>
      <c r="F2" s="8" t="s">
        <v>38</v>
      </c>
      <c r="G2" s="9">
        <v>46305</v>
      </c>
      <c r="H2" s="9">
        <v>46320</v>
      </c>
      <c r="I2" s="10">
        <v>151575.97</v>
      </c>
      <c r="J2" s="8" t="s">
        <v>13</v>
      </c>
      <c r="K2" s="8"/>
      <c r="L2" s="8">
        <f t="shared" ref="L2:L33" ca="1" si="0">IF(OR(J2="Paid",H2&gt;=TODAY()),0,TODAY()-H2)</f>
        <v>0</v>
      </c>
      <c r="M2" s="8" t="str">
        <f t="shared" ref="M2:M33" ca="1" si="1">IF(J2="Paid","Paid",IF(L2=0,"Not Due",IF(L2&lt;=30,"1-30 Days",IF(L2&lt;=60,"31-60 Days",IF(L2&lt;=90,"61-90 Days","90+ Days")))))</f>
        <v>Not Due</v>
      </c>
    </row>
    <row r="3" spans="1:13" x14ac:dyDescent="0.3">
      <c r="A3" s="8" t="s">
        <v>39</v>
      </c>
      <c r="B3" s="8" t="s">
        <v>34</v>
      </c>
      <c r="C3" s="8" t="s">
        <v>35</v>
      </c>
      <c r="D3" s="8" t="s">
        <v>36</v>
      </c>
      <c r="E3" s="8" t="s">
        <v>40</v>
      </c>
      <c r="F3" s="8" t="s">
        <v>41</v>
      </c>
      <c r="G3" s="9">
        <v>46295</v>
      </c>
      <c r="H3" s="9">
        <v>46325</v>
      </c>
      <c r="I3" s="10">
        <v>104657.15</v>
      </c>
      <c r="J3" s="8" t="s">
        <v>17</v>
      </c>
      <c r="K3" s="8"/>
      <c r="L3" s="8">
        <f t="shared" ca="1" si="0"/>
        <v>0</v>
      </c>
      <c r="M3" s="8" t="str">
        <f t="shared" si="1"/>
        <v>Paid</v>
      </c>
    </row>
    <row r="4" spans="1:13" x14ac:dyDescent="0.3">
      <c r="A4" s="8" t="s">
        <v>42</v>
      </c>
      <c r="B4" s="8" t="s">
        <v>43</v>
      </c>
      <c r="C4" s="8" t="s">
        <v>44</v>
      </c>
      <c r="D4" s="8" t="s">
        <v>45</v>
      </c>
      <c r="E4" s="8"/>
      <c r="F4" s="8"/>
      <c r="G4" s="9">
        <v>46196</v>
      </c>
      <c r="H4" s="9">
        <v>46211</v>
      </c>
      <c r="I4" s="10">
        <v>162608.84</v>
      </c>
      <c r="J4" s="8" t="s">
        <v>13</v>
      </c>
      <c r="K4" s="8"/>
      <c r="L4" s="8">
        <f t="shared" ca="1" si="0"/>
        <v>96</v>
      </c>
      <c r="M4" s="8" t="str">
        <f t="shared" ca="1" si="1"/>
        <v>90+ Days</v>
      </c>
    </row>
    <row r="5" spans="1:13" x14ac:dyDescent="0.3">
      <c r="A5" s="8" t="s">
        <v>46</v>
      </c>
      <c r="B5" s="8" t="s">
        <v>47</v>
      </c>
      <c r="C5" s="8" t="s">
        <v>48</v>
      </c>
      <c r="D5" s="8" t="s">
        <v>36</v>
      </c>
      <c r="E5" s="8" t="s">
        <v>49</v>
      </c>
      <c r="F5" s="8" t="s">
        <v>50</v>
      </c>
      <c r="G5" s="9">
        <v>46192</v>
      </c>
      <c r="H5" s="9">
        <v>46207</v>
      </c>
      <c r="I5" s="10">
        <v>18545.7</v>
      </c>
      <c r="J5" s="8" t="s">
        <v>17</v>
      </c>
      <c r="K5" s="8"/>
      <c r="L5" s="8">
        <f t="shared" ca="1" si="0"/>
        <v>0</v>
      </c>
      <c r="M5" s="8" t="str">
        <f t="shared" si="1"/>
        <v>Paid</v>
      </c>
    </row>
    <row r="6" spans="1:13" x14ac:dyDescent="0.3">
      <c r="A6" s="8" t="s">
        <v>51</v>
      </c>
      <c r="B6" s="8" t="s">
        <v>52</v>
      </c>
      <c r="C6" s="8" t="s">
        <v>53</v>
      </c>
      <c r="D6" s="8" t="s">
        <v>36</v>
      </c>
      <c r="E6" s="8" t="s">
        <v>54</v>
      </c>
      <c r="F6" s="8" t="s">
        <v>55</v>
      </c>
      <c r="G6" s="9">
        <v>46233</v>
      </c>
      <c r="H6" s="9">
        <v>46248</v>
      </c>
      <c r="I6" s="10">
        <v>76477.259999999995</v>
      </c>
      <c r="J6" s="8" t="s">
        <v>17</v>
      </c>
      <c r="K6" s="8"/>
      <c r="L6" s="8">
        <f t="shared" ca="1" si="0"/>
        <v>0</v>
      </c>
      <c r="M6" s="8" t="str">
        <f t="shared" si="1"/>
        <v>Paid</v>
      </c>
    </row>
    <row r="7" spans="1:13" x14ac:dyDescent="0.3">
      <c r="A7" s="8" t="s">
        <v>56</v>
      </c>
      <c r="B7" s="8" t="s">
        <v>57</v>
      </c>
      <c r="C7" s="8" t="s">
        <v>58</v>
      </c>
      <c r="D7" s="8" t="s">
        <v>45</v>
      </c>
      <c r="E7" s="8"/>
      <c r="F7" s="8"/>
      <c r="G7" s="9">
        <v>46288</v>
      </c>
      <c r="H7" s="9">
        <v>46333</v>
      </c>
      <c r="I7" s="10">
        <v>75615.69</v>
      </c>
      <c r="J7" s="8" t="s">
        <v>13</v>
      </c>
      <c r="K7" s="8"/>
      <c r="L7" s="8">
        <f t="shared" ca="1" si="0"/>
        <v>0</v>
      </c>
      <c r="M7" s="8" t="str">
        <f t="shared" ca="1" si="1"/>
        <v>Not Due</v>
      </c>
    </row>
    <row r="8" spans="1:13" x14ac:dyDescent="0.3">
      <c r="A8" s="8" t="s">
        <v>59</v>
      </c>
      <c r="B8" s="8" t="s">
        <v>47</v>
      </c>
      <c r="C8" s="8" t="s">
        <v>48</v>
      </c>
      <c r="D8" s="8" t="s">
        <v>36</v>
      </c>
      <c r="E8" s="8" t="s">
        <v>60</v>
      </c>
      <c r="F8" s="8" t="s">
        <v>61</v>
      </c>
      <c r="G8" s="9">
        <v>46287</v>
      </c>
      <c r="H8" s="9">
        <v>46317</v>
      </c>
      <c r="I8" s="10">
        <v>13592.22</v>
      </c>
      <c r="J8" s="8" t="s">
        <v>17</v>
      </c>
      <c r="K8" s="8"/>
      <c r="L8" s="8">
        <f t="shared" ca="1" si="0"/>
        <v>0</v>
      </c>
      <c r="M8" s="8" t="str">
        <f t="shared" si="1"/>
        <v>Paid</v>
      </c>
    </row>
    <row r="9" spans="1:13" x14ac:dyDescent="0.3">
      <c r="A9" s="8" t="s">
        <v>62</v>
      </c>
      <c r="B9" s="8" t="s">
        <v>57</v>
      </c>
      <c r="C9" s="8" t="s">
        <v>58</v>
      </c>
      <c r="D9" s="8" t="s">
        <v>45</v>
      </c>
      <c r="E9" s="8"/>
      <c r="F9" s="8"/>
      <c r="G9" s="9">
        <v>46260</v>
      </c>
      <c r="H9" s="9">
        <v>46305</v>
      </c>
      <c r="I9" s="10">
        <v>134671.5</v>
      </c>
      <c r="J9" s="8" t="s">
        <v>13</v>
      </c>
      <c r="K9" s="8"/>
      <c r="L9" s="8">
        <f t="shared" ca="1" si="0"/>
        <v>2</v>
      </c>
      <c r="M9" s="8" t="str">
        <f t="shared" ca="1" si="1"/>
        <v>1-30 Days</v>
      </c>
    </row>
    <row r="10" spans="1:13" x14ac:dyDescent="0.3">
      <c r="A10" s="8" t="s">
        <v>63</v>
      </c>
      <c r="B10" s="8" t="s">
        <v>57</v>
      </c>
      <c r="C10" s="8" t="s">
        <v>58</v>
      </c>
      <c r="D10" s="8" t="s">
        <v>36</v>
      </c>
      <c r="E10" s="8" t="s">
        <v>64</v>
      </c>
      <c r="F10" s="8" t="s">
        <v>65</v>
      </c>
      <c r="G10" s="9">
        <v>46259</v>
      </c>
      <c r="H10" s="9">
        <v>46274</v>
      </c>
      <c r="I10" s="10">
        <v>19067.68</v>
      </c>
      <c r="J10" s="8" t="s">
        <v>15</v>
      </c>
      <c r="K10" s="8" t="s">
        <v>66</v>
      </c>
      <c r="L10" s="8">
        <f t="shared" ca="1" si="0"/>
        <v>33</v>
      </c>
      <c r="M10" s="8" t="str">
        <f t="shared" ca="1" si="1"/>
        <v>31-60 Days</v>
      </c>
    </row>
    <row r="11" spans="1:13" x14ac:dyDescent="0.3">
      <c r="A11" s="8" t="s">
        <v>67</v>
      </c>
      <c r="B11" s="8" t="s">
        <v>47</v>
      </c>
      <c r="C11" s="8" t="s">
        <v>48</v>
      </c>
      <c r="D11" s="8" t="s">
        <v>36</v>
      </c>
      <c r="E11" s="8" t="s">
        <v>68</v>
      </c>
      <c r="F11" s="8"/>
      <c r="G11" s="9">
        <v>46187</v>
      </c>
      <c r="H11" s="9">
        <v>46247</v>
      </c>
      <c r="I11" s="10">
        <v>30330.28</v>
      </c>
      <c r="J11" s="8" t="s">
        <v>19</v>
      </c>
      <c r="K11" s="8" t="s">
        <v>69</v>
      </c>
      <c r="L11" s="8">
        <f t="shared" ca="1" si="0"/>
        <v>60</v>
      </c>
      <c r="M11" s="8" t="str">
        <f t="shared" ca="1" si="1"/>
        <v>31-60 Days</v>
      </c>
    </row>
    <row r="12" spans="1:13" x14ac:dyDescent="0.3">
      <c r="A12" s="8" t="s">
        <v>70</v>
      </c>
      <c r="B12" s="8" t="s">
        <v>71</v>
      </c>
      <c r="C12" s="8" t="s">
        <v>72</v>
      </c>
      <c r="D12" s="8" t="s">
        <v>45</v>
      </c>
      <c r="E12" s="8"/>
      <c r="F12" s="8"/>
      <c r="G12" s="9">
        <v>46248</v>
      </c>
      <c r="H12" s="9">
        <v>46263</v>
      </c>
      <c r="I12" s="10">
        <v>27401.67</v>
      </c>
      <c r="J12" s="8" t="s">
        <v>13</v>
      </c>
      <c r="K12" s="8"/>
      <c r="L12" s="8">
        <f t="shared" ca="1" si="0"/>
        <v>44</v>
      </c>
      <c r="M12" s="8" t="str">
        <f t="shared" ca="1" si="1"/>
        <v>31-60 Days</v>
      </c>
    </row>
    <row r="13" spans="1:13" x14ac:dyDescent="0.3">
      <c r="A13" s="8" t="s">
        <v>73</v>
      </c>
      <c r="B13" s="8" t="s">
        <v>74</v>
      </c>
      <c r="C13" s="8" t="s">
        <v>75</v>
      </c>
      <c r="D13" s="8" t="s">
        <v>36</v>
      </c>
      <c r="E13" s="8" t="s">
        <v>76</v>
      </c>
      <c r="F13" s="8" t="s">
        <v>77</v>
      </c>
      <c r="G13" s="9">
        <v>46203</v>
      </c>
      <c r="H13" s="9">
        <v>46233</v>
      </c>
      <c r="I13" s="10">
        <v>115033.53</v>
      </c>
      <c r="J13" s="8" t="s">
        <v>17</v>
      </c>
      <c r="K13" s="8"/>
      <c r="L13" s="8">
        <f t="shared" ca="1" si="0"/>
        <v>0</v>
      </c>
      <c r="M13" s="8" t="str">
        <f t="shared" si="1"/>
        <v>Paid</v>
      </c>
    </row>
    <row r="14" spans="1:13" x14ac:dyDescent="0.3">
      <c r="A14" s="8" t="s">
        <v>78</v>
      </c>
      <c r="B14" s="8" t="s">
        <v>74</v>
      </c>
      <c r="C14" s="8" t="s">
        <v>75</v>
      </c>
      <c r="D14" s="8" t="s">
        <v>36</v>
      </c>
      <c r="E14" s="8" t="s">
        <v>79</v>
      </c>
      <c r="F14" s="8" t="s">
        <v>80</v>
      </c>
      <c r="G14" s="9">
        <v>46173</v>
      </c>
      <c r="H14" s="9">
        <v>46233</v>
      </c>
      <c r="I14" s="10">
        <v>84383.59</v>
      </c>
      <c r="J14" s="8" t="s">
        <v>17</v>
      </c>
      <c r="K14" s="8"/>
      <c r="L14" s="8">
        <f t="shared" ca="1" si="0"/>
        <v>0</v>
      </c>
      <c r="M14" s="8" t="str">
        <f t="shared" si="1"/>
        <v>Paid</v>
      </c>
    </row>
    <row r="15" spans="1:13" x14ac:dyDescent="0.3">
      <c r="A15" s="8" t="s">
        <v>81</v>
      </c>
      <c r="B15" s="8" t="s">
        <v>74</v>
      </c>
      <c r="C15" s="8" t="s">
        <v>75</v>
      </c>
      <c r="D15" s="8" t="s">
        <v>45</v>
      </c>
      <c r="E15" s="8"/>
      <c r="F15" s="8"/>
      <c r="G15" s="9">
        <v>46303</v>
      </c>
      <c r="H15" s="9">
        <v>46333</v>
      </c>
      <c r="I15" s="10">
        <v>143199.73000000001</v>
      </c>
      <c r="J15" s="8" t="s">
        <v>17</v>
      </c>
      <c r="K15" s="8"/>
      <c r="L15" s="8">
        <f t="shared" ca="1" si="0"/>
        <v>0</v>
      </c>
      <c r="M15" s="8" t="str">
        <f t="shared" si="1"/>
        <v>Paid</v>
      </c>
    </row>
    <row r="16" spans="1:13" x14ac:dyDescent="0.3">
      <c r="A16" s="8" t="s">
        <v>82</v>
      </c>
      <c r="B16" s="8" t="s">
        <v>83</v>
      </c>
      <c r="C16" s="8" t="s">
        <v>84</v>
      </c>
      <c r="D16" s="8" t="s">
        <v>45</v>
      </c>
      <c r="E16" s="8"/>
      <c r="F16" s="8"/>
      <c r="G16" s="9">
        <v>46224</v>
      </c>
      <c r="H16" s="9">
        <v>46284</v>
      </c>
      <c r="I16" s="10">
        <v>125210.39</v>
      </c>
      <c r="J16" s="8" t="s">
        <v>17</v>
      </c>
      <c r="K16" s="8"/>
      <c r="L16" s="8">
        <f t="shared" ca="1" si="0"/>
        <v>0</v>
      </c>
      <c r="M16" s="8" t="str">
        <f t="shared" si="1"/>
        <v>Paid</v>
      </c>
    </row>
    <row r="17" spans="1:13" x14ac:dyDescent="0.3">
      <c r="A17" s="8" t="s">
        <v>85</v>
      </c>
      <c r="B17" s="8" t="s">
        <v>43</v>
      </c>
      <c r="C17" s="8" t="s">
        <v>44</v>
      </c>
      <c r="D17" s="8" t="s">
        <v>36</v>
      </c>
      <c r="E17" s="8" t="s">
        <v>86</v>
      </c>
      <c r="F17" s="8" t="s">
        <v>87</v>
      </c>
      <c r="G17" s="9">
        <v>46205</v>
      </c>
      <c r="H17" s="9">
        <v>46220</v>
      </c>
      <c r="I17" s="10">
        <v>20508.28</v>
      </c>
      <c r="J17" s="8" t="s">
        <v>13</v>
      </c>
      <c r="K17" s="8"/>
      <c r="L17" s="8">
        <f t="shared" ca="1" si="0"/>
        <v>87</v>
      </c>
      <c r="M17" s="8" t="str">
        <f t="shared" ca="1" si="1"/>
        <v>61-90 Days</v>
      </c>
    </row>
    <row r="18" spans="1:13" x14ac:dyDescent="0.3">
      <c r="A18" s="8" t="s">
        <v>88</v>
      </c>
      <c r="B18" s="8" t="s">
        <v>57</v>
      </c>
      <c r="C18" s="8" t="s">
        <v>58</v>
      </c>
      <c r="D18" s="8" t="s">
        <v>36</v>
      </c>
      <c r="E18" s="8" t="s">
        <v>89</v>
      </c>
      <c r="F18" s="8"/>
      <c r="G18" s="9">
        <v>46302</v>
      </c>
      <c r="H18" s="9">
        <v>46317</v>
      </c>
      <c r="I18" s="10">
        <v>75597.710000000006</v>
      </c>
      <c r="J18" s="8" t="s">
        <v>13</v>
      </c>
      <c r="K18" s="8"/>
      <c r="L18" s="8">
        <f t="shared" ca="1" si="0"/>
        <v>0</v>
      </c>
      <c r="M18" s="8" t="str">
        <f t="shared" ca="1" si="1"/>
        <v>Not Due</v>
      </c>
    </row>
    <row r="19" spans="1:13" x14ac:dyDescent="0.3">
      <c r="A19" s="8" t="s">
        <v>90</v>
      </c>
      <c r="B19" s="8" t="s">
        <v>91</v>
      </c>
      <c r="C19" s="8" t="s">
        <v>92</v>
      </c>
      <c r="D19" s="8" t="s">
        <v>45</v>
      </c>
      <c r="E19" s="8"/>
      <c r="F19" s="8"/>
      <c r="G19" s="9">
        <v>46306</v>
      </c>
      <c r="H19" s="9">
        <v>46336</v>
      </c>
      <c r="I19" s="10">
        <v>156433.20000000001</v>
      </c>
      <c r="J19" s="8" t="s">
        <v>15</v>
      </c>
      <c r="K19" s="8" t="s">
        <v>93</v>
      </c>
      <c r="L19" s="8">
        <f t="shared" ca="1" si="0"/>
        <v>0</v>
      </c>
      <c r="M19" s="8" t="str">
        <f t="shared" ca="1" si="1"/>
        <v>Not Due</v>
      </c>
    </row>
    <row r="20" spans="1:13" x14ac:dyDescent="0.3">
      <c r="A20" s="8" t="s">
        <v>94</v>
      </c>
      <c r="B20" s="8" t="s">
        <v>43</v>
      </c>
      <c r="C20" s="8" t="s">
        <v>44</v>
      </c>
      <c r="D20" s="8" t="s">
        <v>36</v>
      </c>
      <c r="E20" s="8" t="s">
        <v>95</v>
      </c>
      <c r="F20" s="8" t="s">
        <v>96</v>
      </c>
      <c r="G20" s="9">
        <v>46181</v>
      </c>
      <c r="H20" s="9">
        <v>46196</v>
      </c>
      <c r="I20" s="10">
        <v>119598.13</v>
      </c>
      <c r="J20" s="8" t="s">
        <v>17</v>
      </c>
      <c r="K20" s="8"/>
      <c r="L20" s="8">
        <f t="shared" ca="1" si="0"/>
        <v>0</v>
      </c>
      <c r="M20" s="8" t="str">
        <f t="shared" si="1"/>
        <v>Paid</v>
      </c>
    </row>
    <row r="21" spans="1:13" x14ac:dyDescent="0.3">
      <c r="A21" s="8" t="s">
        <v>97</v>
      </c>
      <c r="B21" s="8" t="s">
        <v>34</v>
      </c>
      <c r="C21" s="8" t="s">
        <v>35</v>
      </c>
      <c r="D21" s="8" t="s">
        <v>36</v>
      </c>
      <c r="E21" s="8" t="s">
        <v>98</v>
      </c>
      <c r="F21" s="8" t="s">
        <v>99</v>
      </c>
      <c r="G21" s="9">
        <v>46164</v>
      </c>
      <c r="H21" s="9">
        <v>46179</v>
      </c>
      <c r="I21" s="10">
        <v>130226.68</v>
      </c>
      <c r="J21" s="8" t="s">
        <v>15</v>
      </c>
      <c r="K21" s="8" t="s">
        <v>69</v>
      </c>
      <c r="L21" s="8">
        <f t="shared" ca="1" si="0"/>
        <v>128</v>
      </c>
      <c r="M21" s="8" t="str">
        <f t="shared" ca="1" si="1"/>
        <v>90+ Days</v>
      </c>
    </row>
    <row r="22" spans="1:13" x14ac:dyDescent="0.3">
      <c r="A22" s="8" t="s">
        <v>100</v>
      </c>
      <c r="B22" s="8" t="s">
        <v>83</v>
      </c>
      <c r="C22" s="8" t="s">
        <v>84</v>
      </c>
      <c r="D22" s="8" t="s">
        <v>36</v>
      </c>
      <c r="E22" s="8" t="s">
        <v>101</v>
      </c>
      <c r="F22" s="8" t="s">
        <v>102</v>
      </c>
      <c r="G22" s="9">
        <v>46165</v>
      </c>
      <c r="H22" s="9">
        <v>46180</v>
      </c>
      <c r="I22" s="10">
        <v>6294.61</v>
      </c>
      <c r="J22" s="8" t="s">
        <v>17</v>
      </c>
      <c r="K22" s="8"/>
      <c r="L22" s="8">
        <f t="shared" ca="1" si="0"/>
        <v>0</v>
      </c>
      <c r="M22" s="8" t="str">
        <f t="shared" si="1"/>
        <v>Paid</v>
      </c>
    </row>
    <row r="23" spans="1:13" x14ac:dyDescent="0.3">
      <c r="A23" s="8" t="s">
        <v>103</v>
      </c>
      <c r="B23" s="8" t="s">
        <v>74</v>
      </c>
      <c r="C23" s="8" t="s">
        <v>75</v>
      </c>
      <c r="D23" s="8" t="s">
        <v>36</v>
      </c>
      <c r="E23" s="8" t="s">
        <v>104</v>
      </c>
      <c r="F23" s="8" t="s">
        <v>105</v>
      </c>
      <c r="G23" s="9">
        <v>46248</v>
      </c>
      <c r="H23" s="9">
        <v>46263</v>
      </c>
      <c r="I23" s="10">
        <v>143573.17000000001</v>
      </c>
      <c r="J23" s="8" t="s">
        <v>17</v>
      </c>
      <c r="K23" s="8"/>
      <c r="L23" s="8">
        <f t="shared" ca="1" si="0"/>
        <v>0</v>
      </c>
      <c r="M23" s="8" t="str">
        <f t="shared" si="1"/>
        <v>Paid</v>
      </c>
    </row>
    <row r="24" spans="1:13" x14ac:dyDescent="0.3">
      <c r="A24" s="8" t="s">
        <v>106</v>
      </c>
      <c r="B24" s="8" t="s">
        <v>47</v>
      </c>
      <c r="C24" s="8" t="s">
        <v>48</v>
      </c>
      <c r="D24" s="8" t="s">
        <v>45</v>
      </c>
      <c r="E24" s="8"/>
      <c r="F24" s="8"/>
      <c r="G24" s="9">
        <v>46239</v>
      </c>
      <c r="H24" s="9">
        <v>46254</v>
      </c>
      <c r="I24" s="10">
        <v>25077.05</v>
      </c>
      <c r="J24" s="8" t="s">
        <v>13</v>
      </c>
      <c r="K24" s="8"/>
      <c r="L24" s="8">
        <f t="shared" ca="1" si="0"/>
        <v>53</v>
      </c>
      <c r="M24" s="8" t="str">
        <f t="shared" ca="1" si="1"/>
        <v>31-60 Days</v>
      </c>
    </row>
    <row r="25" spans="1:13" x14ac:dyDescent="0.3">
      <c r="A25" s="8" t="s">
        <v>107</v>
      </c>
      <c r="B25" s="8" t="s">
        <v>57</v>
      </c>
      <c r="C25" s="8" t="s">
        <v>58</v>
      </c>
      <c r="D25" s="8" t="s">
        <v>36</v>
      </c>
      <c r="E25" s="8" t="s">
        <v>108</v>
      </c>
      <c r="F25" s="8" t="s">
        <v>109</v>
      </c>
      <c r="G25" s="9">
        <v>46166</v>
      </c>
      <c r="H25" s="9">
        <v>46196</v>
      </c>
      <c r="I25" s="10">
        <v>108324.32</v>
      </c>
      <c r="J25" s="8" t="s">
        <v>17</v>
      </c>
      <c r="K25" s="8"/>
      <c r="L25" s="8">
        <f t="shared" ca="1" si="0"/>
        <v>0</v>
      </c>
      <c r="M25" s="8" t="str">
        <f t="shared" si="1"/>
        <v>Paid</v>
      </c>
    </row>
    <row r="26" spans="1:13" x14ac:dyDescent="0.3">
      <c r="A26" s="8" t="s">
        <v>110</v>
      </c>
      <c r="B26" s="8" t="s">
        <v>47</v>
      </c>
      <c r="C26" s="8" t="s">
        <v>48</v>
      </c>
      <c r="D26" s="8" t="s">
        <v>36</v>
      </c>
      <c r="E26" s="8" t="s">
        <v>111</v>
      </c>
      <c r="F26" s="8" t="s">
        <v>112</v>
      </c>
      <c r="G26" s="9">
        <v>46288</v>
      </c>
      <c r="H26" s="9">
        <v>46348</v>
      </c>
      <c r="I26" s="10">
        <v>76009.38</v>
      </c>
      <c r="J26" s="8" t="s">
        <v>17</v>
      </c>
      <c r="K26" s="8"/>
      <c r="L26" s="8">
        <f t="shared" ca="1" si="0"/>
        <v>0</v>
      </c>
      <c r="M26" s="8" t="str">
        <f t="shared" si="1"/>
        <v>Paid</v>
      </c>
    </row>
    <row r="27" spans="1:13" x14ac:dyDescent="0.3">
      <c r="A27" s="8" t="s">
        <v>113</v>
      </c>
      <c r="B27" s="8" t="s">
        <v>47</v>
      </c>
      <c r="C27" s="8" t="s">
        <v>48</v>
      </c>
      <c r="D27" s="8" t="s">
        <v>36</v>
      </c>
      <c r="E27" s="8" t="s">
        <v>114</v>
      </c>
      <c r="F27" s="8" t="s">
        <v>115</v>
      </c>
      <c r="G27" s="9">
        <v>46201</v>
      </c>
      <c r="H27" s="9">
        <v>46246</v>
      </c>
      <c r="I27" s="10">
        <v>34246.639999999999</v>
      </c>
      <c r="J27" s="8" t="s">
        <v>13</v>
      </c>
      <c r="K27" s="8"/>
      <c r="L27" s="8">
        <f t="shared" ca="1" si="0"/>
        <v>61</v>
      </c>
      <c r="M27" s="8" t="str">
        <f t="shared" ca="1" si="1"/>
        <v>61-90 Days</v>
      </c>
    </row>
    <row r="28" spans="1:13" x14ac:dyDescent="0.3">
      <c r="A28" s="8" t="s">
        <v>116</v>
      </c>
      <c r="B28" s="8" t="s">
        <v>34</v>
      </c>
      <c r="C28" s="8" t="s">
        <v>35</v>
      </c>
      <c r="D28" s="8" t="s">
        <v>36</v>
      </c>
      <c r="E28" s="8" t="s">
        <v>117</v>
      </c>
      <c r="F28" s="8" t="s">
        <v>118</v>
      </c>
      <c r="G28" s="9">
        <v>46235</v>
      </c>
      <c r="H28" s="9">
        <v>46280</v>
      </c>
      <c r="I28" s="10">
        <v>88369.87</v>
      </c>
      <c r="J28" s="8" t="s">
        <v>15</v>
      </c>
      <c r="K28" s="8" t="s">
        <v>119</v>
      </c>
      <c r="L28" s="8">
        <f t="shared" ca="1" si="0"/>
        <v>27</v>
      </c>
      <c r="M28" s="8" t="str">
        <f t="shared" ca="1" si="1"/>
        <v>1-30 Days</v>
      </c>
    </row>
    <row r="29" spans="1:13" x14ac:dyDescent="0.3">
      <c r="A29" s="8" t="s">
        <v>120</v>
      </c>
      <c r="B29" s="8" t="s">
        <v>74</v>
      </c>
      <c r="C29" s="8" t="s">
        <v>75</v>
      </c>
      <c r="D29" s="8" t="s">
        <v>36</v>
      </c>
      <c r="E29" s="8" t="s">
        <v>121</v>
      </c>
      <c r="F29" s="8" t="s">
        <v>122</v>
      </c>
      <c r="G29" s="9">
        <v>46207</v>
      </c>
      <c r="H29" s="9">
        <v>46222</v>
      </c>
      <c r="I29" s="10">
        <v>62761.4</v>
      </c>
      <c r="J29" s="8" t="s">
        <v>15</v>
      </c>
      <c r="K29" s="8" t="s">
        <v>123</v>
      </c>
      <c r="L29" s="8">
        <f t="shared" ca="1" si="0"/>
        <v>85</v>
      </c>
      <c r="M29" s="8" t="str">
        <f t="shared" ca="1" si="1"/>
        <v>61-90 Days</v>
      </c>
    </row>
    <row r="30" spans="1:13" x14ac:dyDescent="0.3">
      <c r="A30" s="8" t="s">
        <v>124</v>
      </c>
      <c r="B30" s="8" t="s">
        <v>125</v>
      </c>
      <c r="C30" s="8" t="s">
        <v>126</v>
      </c>
      <c r="D30" s="8" t="s">
        <v>45</v>
      </c>
      <c r="E30" s="8"/>
      <c r="F30" s="8"/>
      <c r="G30" s="9">
        <v>46275</v>
      </c>
      <c r="H30" s="9">
        <v>46290</v>
      </c>
      <c r="I30" s="10">
        <v>113183.34</v>
      </c>
      <c r="J30" s="8" t="s">
        <v>19</v>
      </c>
      <c r="K30" s="8" t="s">
        <v>123</v>
      </c>
      <c r="L30" s="8">
        <f t="shared" ca="1" si="0"/>
        <v>17</v>
      </c>
      <c r="M30" s="8" t="str">
        <f t="shared" ca="1" si="1"/>
        <v>1-30 Days</v>
      </c>
    </row>
    <row r="31" spans="1:13" x14ac:dyDescent="0.3">
      <c r="A31" s="8" t="s">
        <v>127</v>
      </c>
      <c r="B31" s="8" t="s">
        <v>74</v>
      </c>
      <c r="C31" s="8" t="s">
        <v>75</v>
      </c>
      <c r="D31" s="8" t="s">
        <v>36</v>
      </c>
      <c r="E31" s="8" t="s">
        <v>128</v>
      </c>
      <c r="F31" s="8" t="s">
        <v>129</v>
      </c>
      <c r="G31" s="9">
        <v>46287</v>
      </c>
      <c r="H31" s="9">
        <v>46332</v>
      </c>
      <c r="I31" s="10">
        <v>82357.47</v>
      </c>
      <c r="J31" s="8" t="s">
        <v>15</v>
      </c>
      <c r="K31" s="8" t="s">
        <v>130</v>
      </c>
      <c r="L31" s="8">
        <f t="shared" ca="1" si="0"/>
        <v>0</v>
      </c>
      <c r="M31" s="8" t="str">
        <f t="shared" ca="1" si="1"/>
        <v>Not Due</v>
      </c>
    </row>
    <row r="32" spans="1:13" x14ac:dyDescent="0.3">
      <c r="A32" s="8" t="s">
        <v>131</v>
      </c>
      <c r="B32" s="8" t="s">
        <v>83</v>
      </c>
      <c r="C32" s="8" t="s">
        <v>84</v>
      </c>
      <c r="D32" s="8" t="s">
        <v>36</v>
      </c>
      <c r="E32" s="8" t="s">
        <v>132</v>
      </c>
      <c r="F32" s="8" t="s">
        <v>133</v>
      </c>
      <c r="G32" s="9">
        <v>46217</v>
      </c>
      <c r="H32" s="9">
        <v>46247</v>
      </c>
      <c r="I32" s="10">
        <v>84622.85</v>
      </c>
      <c r="J32" s="8" t="s">
        <v>17</v>
      </c>
      <c r="K32" s="8"/>
      <c r="L32" s="8">
        <f t="shared" ca="1" si="0"/>
        <v>0</v>
      </c>
      <c r="M32" s="8" t="str">
        <f t="shared" si="1"/>
        <v>Paid</v>
      </c>
    </row>
    <row r="33" spans="1:13" x14ac:dyDescent="0.3">
      <c r="A33" s="8" t="s">
        <v>134</v>
      </c>
      <c r="B33" s="8" t="s">
        <v>52</v>
      </c>
      <c r="C33" s="8" t="s">
        <v>53</v>
      </c>
      <c r="D33" s="8" t="s">
        <v>36</v>
      </c>
      <c r="E33" s="8" t="s">
        <v>135</v>
      </c>
      <c r="F33" s="8" t="s">
        <v>136</v>
      </c>
      <c r="G33" s="9">
        <v>46168</v>
      </c>
      <c r="H33" s="9">
        <v>46183</v>
      </c>
      <c r="I33" s="10">
        <v>93898.57</v>
      </c>
      <c r="J33" s="8" t="s">
        <v>13</v>
      </c>
      <c r="K33" s="8"/>
      <c r="L33" s="8">
        <f t="shared" ca="1" si="0"/>
        <v>124</v>
      </c>
      <c r="M33" s="8" t="str">
        <f t="shared" ca="1" si="1"/>
        <v>90+ Days</v>
      </c>
    </row>
    <row r="34" spans="1:13" x14ac:dyDescent="0.3">
      <c r="A34" s="8" t="s">
        <v>137</v>
      </c>
      <c r="B34" s="8" t="s">
        <v>125</v>
      </c>
      <c r="C34" s="8" t="s">
        <v>126</v>
      </c>
      <c r="D34" s="8" t="s">
        <v>36</v>
      </c>
      <c r="E34" s="8" t="s">
        <v>138</v>
      </c>
      <c r="F34" s="8" t="s">
        <v>139</v>
      </c>
      <c r="G34" s="9">
        <v>46307</v>
      </c>
      <c r="H34" s="9">
        <v>46337</v>
      </c>
      <c r="I34" s="10">
        <v>124622.45</v>
      </c>
      <c r="J34" s="8" t="s">
        <v>19</v>
      </c>
      <c r="K34" s="8" t="s">
        <v>69</v>
      </c>
      <c r="L34" s="8">
        <f t="shared" ref="L34:L65" ca="1" si="2">IF(OR(J34="Paid",H34&gt;=TODAY()),0,TODAY()-H34)</f>
        <v>0</v>
      </c>
      <c r="M34" s="8" t="str">
        <f t="shared" ref="M34:M65" ca="1" si="3">IF(J34="Paid","Paid",IF(L34=0,"Not Due",IF(L34&lt;=30,"1-30 Days",IF(L34&lt;=60,"31-60 Days",IF(L34&lt;=90,"61-90 Days","90+ Days")))))</f>
        <v>Not Due</v>
      </c>
    </row>
    <row r="35" spans="1:13" x14ac:dyDescent="0.3">
      <c r="A35" s="8" t="s">
        <v>140</v>
      </c>
      <c r="B35" s="8" t="s">
        <v>71</v>
      </c>
      <c r="C35" s="8" t="s">
        <v>72</v>
      </c>
      <c r="D35" s="8" t="s">
        <v>36</v>
      </c>
      <c r="E35" s="8" t="s">
        <v>141</v>
      </c>
      <c r="F35" s="8"/>
      <c r="G35" s="9">
        <v>46230</v>
      </c>
      <c r="H35" s="9">
        <v>46260</v>
      </c>
      <c r="I35" s="10">
        <v>40605.760000000002</v>
      </c>
      <c r="J35" s="8" t="s">
        <v>13</v>
      </c>
      <c r="K35" s="8"/>
      <c r="L35" s="8">
        <f t="shared" ca="1" si="2"/>
        <v>47</v>
      </c>
      <c r="M35" s="8" t="str">
        <f t="shared" ca="1" si="3"/>
        <v>31-60 Days</v>
      </c>
    </row>
    <row r="36" spans="1:13" x14ac:dyDescent="0.3">
      <c r="A36" s="8" t="s">
        <v>142</v>
      </c>
      <c r="B36" s="8" t="s">
        <v>47</v>
      </c>
      <c r="C36" s="8" t="s">
        <v>48</v>
      </c>
      <c r="D36" s="8" t="s">
        <v>36</v>
      </c>
      <c r="E36" s="8" t="s">
        <v>143</v>
      </c>
      <c r="F36" s="8" t="s">
        <v>144</v>
      </c>
      <c r="G36" s="9">
        <v>46177</v>
      </c>
      <c r="H36" s="9">
        <v>46207</v>
      </c>
      <c r="I36" s="10">
        <v>144620.75</v>
      </c>
      <c r="J36" s="8" t="s">
        <v>17</v>
      </c>
      <c r="K36" s="8"/>
      <c r="L36" s="8">
        <f t="shared" ca="1" si="2"/>
        <v>0</v>
      </c>
      <c r="M36" s="8" t="str">
        <f t="shared" si="3"/>
        <v>Paid</v>
      </c>
    </row>
    <row r="37" spans="1:13" x14ac:dyDescent="0.3">
      <c r="A37" s="8" t="s">
        <v>145</v>
      </c>
      <c r="B37" s="8" t="s">
        <v>74</v>
      </c>
      <c r="C37" s="8" t="s">
        <v>75</v>
      </c>
      <c r="D37" s="8" t="s">
        <v>45</v>
      </c>
      <c r="E37" s="8"/>
      <c r="F37" s="8"/>
      <c r="G37" s="9">
        <v>46248</v>
      </c>
      <c r="H37" s="9">
        <v>46263</v>
      </c>
      <c r="I37" s="10">
        <v>38955.32</v>
      </c>
      <c r="J37" s="8" t="s">
        <v>13</v>
      </c>
      <c r="K37" s="8"/>
      <c r="L37" s="8">
        <f t="shared" ca="1" si="2"/>
        <v>44</v>
      </c>
      <c r="M37" s="8" t="str">
        <f t="shared" ca="1" si="3"/>
        <v>31-60 Days</v>
      </c>
    </row>
    <row r="38" spans="1:13" x14ac:dyDescent="0.3">
      <c r="A38" s="8" t="s">
        <v>146</v>
      </c>
      <c r="B38" s="8" t="s">
        <v>47</v>
      </c>
      <c r="C38" s="8" t="s">
        <v>48</v>
      </c>
      <c r="D38" s="8" t="s">
        <v>36</v>
      </c>
      <c r="E38" s="8" t="s">
        <v>147</v>
      </c>
      <c r="F38" s="8" t="s">
        <v>148</v>
      </c>
      <c r="G38" s="9">
        <v>46249</v>
      </c>
      <c r="H38" s="9">
        <v>46264</v>
      </c>
      <c r="I38" s="10">
        <v>122227.05</v>
      </c>
      <c r="J38" s="8" t="s">
        <v>17</v>
      </c>
      <c r="K38" s="8"/>
      <c r="L38" s="8">
        <f t="shared" ca="1" si="2"/>
        <v>0</v>
      </c>
      <c r="M38" s="8" t="str">
        <f t="shared" si="3"/>
        <v>Paid</v>
      </c>
    </row>
    <row r="39" spans="1:13" x14ac:dyDescent="0.3">
      <c r="A39" s="8" t="s">
        <v>149</v>
      </c>
      <c r="B39" s="8" t="s">
        <v>71</v>
      </c>
      <c r="C39" s="8" t="s">
        <v>72</v>
      </c>
      <c r="D39" s="8" t="s">
        <v>36</v>
      </c>
      <c r="E39" s="8" t="s">
        <v>150</v>
      </c>
      <c r="F39" s="8"/>
      <c r="G39" s="9">
        <v>46166</v>
      </c>
      <c r="H39" s="9">
        <v>46211</v>
      </c>
      <c r="I39" s="10">
        <v>110686.39999999999</v>
      </c>
      <c r="J39" s="8" t="s">
        <v>13</v>
      </c>
      <c r="K39" s="8"/>
      <c r="L39" s="8">
        <f t="shared" ca="1" si="2"/>
        <v>96</v>
      </c>
      <c r="M39" s="8" t="str">
        <f t="shared" ca="1" si="3"/>
        <v>90+ Days</v>
      </c>
    </row>
    <row r="40" spans="1:13" x14ac:dyDescent="0.3">
      <c r="A40" s="8" t="s">
        <v>151</v>
      </c>
      <c r="B40" s="8" t="s">
        <v>91</v>
      </c>
      <c r="C40" s="8" t="s">
        <v>92</v>
      </c>
      <c r="D40" s="8" t="s">
        <v>36</v>
      </c>
      <c r="E40" s="8" t="s">
        <v>152</v>
      </c>
      <c r="F40" s="8" t="s">
        <v>153</v>
      </c>
      <c r="G40" s="9">
        <v>46286</v>
      </c>
      <c r="H40" s="9">
        <v>46331</v>
      </c>
      <c r="I40" s="10">
        <v>124706.36</v>
      </c>
      <c r="J40" s="8" t="s">
        <v>13</v>
      </c>
      <c r="K40" s="8"/>
      <c r="L40" s="8">
        <f t="shared" ca="1" si="2"/>
        <v>0</v>
      </c>
      <c r="M40" s="8" t="str">
        <f t="shared" ca="1" si="3"/>
        <v>Not Due</v>
      </c>
    </row>
    <row r="41" spans="1:13" x14ac:dyDescent="0.3">
      <c r="A41" s="8" t="s">
        <v>154</v>
      </c>
      <c r="B41" s="8" t="s">
        <v>71</v>
      </c>
      <c r="C41" s="8" t="s">
        <v>72</v>
      </c>
      <c r="D41" s="8" t="s">
        <v>36</v>
      </c>
      <c r="E41" s="8" t="s">
        <v>155</v>
      </c>
      <c r="F41" s="8" t="s">
        <v>156</v>
      </c>
      <c r="G41" s="9">
        <v>46216</v>
      </c>
      <c r="H41" s="9">
        <v>46231</v>
      </c>
      <c r="I41" s="10">
        <v>156077.29</v>
      </c>
      <c r="J41" s="8" t="s">
        <v>19</v>
      </c>
      <c r="K41" s="8" t="s">
        <v>93</v>
      </c>
      <c r="L41" s="8">
        <f t="shared" ca="1" si="2"/>
        <v>76</v>
      </c>
      <c r="M41" s="8" t="str">
        <f t="shared" ca="1" si="3"/>
        <v>61-90 Days</v>
      </c>
    </row>
    <row r="42" spans="1:13" x14ac:dyDescent="0.3">
      <c r="A42" s="8" t="s">
        <v>157</v>
      </c>
      <c r="B42" s="8" t="s">
        <v>91</v>
      </c>
      <c r="C42" s="8" t="s">
        <v>92</v>
      </c>
      <c r="D42" s="8" t="s">
        <v>36</v>
      </c>
      <c r="E42" s="8" t="s">
        <v>158</v>
      </c>
      <c r="F42" s="8" t="s">
        <v>159</v>
      </c>
      <c r="G42" s="9">
        <v>46236</v>
      </c>
      <c r="H42" s="9">
        <v>46281</v>
      </c>
      <c r="I42" s="10">
        <v>142219.21</v>
      </c>
      <c r="J42" s="8" t="s">
        <v>15</v>
      </c>
      <c r="K42" s="8" t="s">
        <v>123</v>
      </c>
      <c r="L42" s="8">
        <f t="shared" ca="1" si="2"/>
        <v>26</v>
      </c>
      <c r="M42" s="8" t="str">
        <f t="shared" ca="1" si="3"/>
        <v>1-30 Days</v>
      </c>
    </row>
    <row r="43" spans="1:13" x14ac:dyDescent="0.3">
      <c r="A43" s="8" t="s">
        <v>160</v>
      </c>
      <c r="B43" s="8" t="s">
        <v>57</v>
      </c>
      <c r="C43" s="8" t="s">
        <v>58</v>
      </c>
      <c r="D43" s="8" t="s">
        <v>45</v>
      </c>
      <c r="E43" s="8"/>
      <c r="F43" s="8"/>
      <c r="G43" s="9">
        <v>46168</v>
      </c>
      <c r="H43" s="9">
        <v>46198</v>
      </c>
      <c r="I43" s="10">
        <v>39611.69</v>
      </c>
      <c r="J43" s="8" t="s">
        <v>15</v>
      </c>
      <c r="K43" s="8" t="s">
        <v>69</v>
      </c>
      <c r="L43" s="8">
        <f t="shared" ca="1" si="2"/>
        <v>109</v>
      </c>
      <c r="M43" s="8" t="str">
        <f t="shared" ca="1" si="3"/>
        <v>90+ Days</v>
      </c>
    </row>
    <row r="44" spans="1:13" x14ac:dyDescent="0.3">
      <c r="A44" s="8" t="s">
        <v>161</v>
      </c>
      <c r="B44" s="8" t="s">
        <v>52</v>
      </c>
      <c r="C44" s="8" t="s">
        <v>53</v>
      </c>
      <c r="D44" s="8" t="s">
        <v>36</v>
      </c>
      <c r="E44" s="8" t="s">
        <v>162</v>
      </c>
      <c r="F44" s="8"/>
      <c r="G44" s="9">
        <v>46247</v>
      </c>
      <c r="H44" s="9">
        <v>46307</v>
      </c>
      <c r="I44" s="10">
        <v>181136.48</v>
      </c>
      <c r="J44" s="8" t="s">
        <v>13</v>
      </c>
      <c r="K44" s="8"/>
      <c r="L44" s="8">
        <f t="shared" ca="1" si="2"/>
        <v>0</v>
      </c>
      <c r="M44" s="8" t="str">
        <f t="shared" ca="1" si="3"/>
        <v>Not Due</v>
      </c>
    </row>
    <row r="45" spans="1:13" x14ac:dyDescent="0.3">
      <c r="A45" s="8" t="s">
        <v>163</v>
      </c>
      <c r="B45" s="8" t="s">
        <v>47</v>
      </c>
      <c r="C45" s="8" t="s">
        <v>48</v>
      </c>
      <c r="D45" s="8" t="s">
        <v>36</v>
      </c>
      <c r="E45" s="8" t="s">
        <v>164</v>
      </c>
      <c r="F45" s="8" t="s">
        <v>165</v>
      </c>
      <c r="G45" s="9">
        <v>46241</v>
      </c>
      <c r="H45" s="9">
        <v>46286</v>
      </c>
      <c r="I45" s="10">
        <v>27186.639999999999</v>
      </c>
      <c r="J45" s="8" t="s">
        <v>19</v>
      </c>
      <c r="K45" s="8" t="s">
        <v>119</v>
      </c>
      <c r="L45" s="8">
        <f t="shared" ca="1" si="2"/>
        <v>21</v>
      </c>
      <c r="M45" s="8" t="str">
        <f t="shared" ca="1" si="3"/>
        <v>1-30 Days</v>
      </c>
    </row>
    <row r="46" spans="1:13" x14ac:dyDescent="0.3">
      <c r="A46" s="8" t="s">
        <v>166</v>
      </c>
      <c r="B46" s="8" t="s">
        <v>74</v>
      </c>
      <c r="C46" s="8" t="s">
        <v>75</v>
      </c>
      <c r="D46" s="8" t="s">
        <v>36</v>
      </c>
      <c r="E46" s="8" t="s">
        <v>167</v>
      </c>
      <c r="F46" s="8" t="s">
        <v>168</v>
      </c>
      <c r="G46" s="9">
        <v>46192</v>
      </c>
      <c r="H46" s="9">
        <v>46222</v>
      </c>
      <c r="I46" s="10">
        <v>163933.41</v>
      </c>
      <c r="J46" s="8" t="s">
        <v>13</v>
      </c>
      <c r="K46" s="8"/>
      <c r="L46" s="8">
        <f t="shared" ca="1" si="2"/>
        <v>85</v>
      </c>
      <c r="M46" s="8" t="str">
        <f t="shared" ca="1" si="3"/>
        <v>61-90 Days</v>
      </c>
    </row>
    <row r="47" spans="1:13" x14ac:dyDescent="0.3">
      <c r="A47" s="8" t="s">
        <v>169</v>
      </c>
      <c r="B47" s="8" t="s">
        <v>43</v>
      </c>
      <c r="C47" s="8" t="s">
        <v>44</v>
      </c>
      <c r="D47" s="8" t="s">
        <v>36</v>
      </c>
      <c r="E47" s="8" t="s">
        <v>170</v>
      </c>
      <c r="F47" s="8" t="s">
        <v>171</v>
      </c>
      <c r="G47" s="9">
        <v>46249</v>
      </c>
      <c r="H47" s="9">
        <v>46309</v>
      </c>
      <c r="I47" s="10">
        <v>10254.69</v>
      </c>
      <c r="J47" s="8" t="s">
        <v>17</v>
      </c>
      <c r="K47" s="8"/>
      <c r="L47" s="8">
        <f t="shared" ca="1" si="2"/>
        <v>0</v>
      </c>
      <c r="M47" s="8" t="str">
        <f t="shared" si="3"/>
        <v>Paid</v>
      </c>
    </row>
    <row r="48" spans="1:13" x14ac:dyDescent="0.3">
      <c r="A48" s="8" t="s">
        <v>172</v>
      </c>
      <c r="B48" s="8" t="s">
        <v>57</v>
      </c>
      <c r="C48" s="8" t="s">
        <v>58</v>
      </c>
      <c r="D48" s="8" t="s">
        <v>45</v>
      </c>
      <c r="E48" s="8"/>
      <c r="F48" s="8"/>
      <c r="G48" s="9">
        <v>46213</v>
      </c>
      <c r="H48" s="9">
        <v>46273</v>
      </c>
      <c r="I48" s="10">
        <v>26133.98</v>
      </c>
      <c r="J48" s="8" t="s">
        <v>17</v>
      </c>
      <c r="K48" s="8"/>
      <c r="L48" s="8">
        <f t="shared" ca="1" si="2"/>
        <v>0</v>
      </c>
      <c r="M48" s="8" t="str">
        <f t="shared" si="3"/>
        <v>Paid</v>
      </c>
    </row>
    <row r="49" spans="1:13" x14ac:dyDescent="0.3">
      <c r="A49" s="8" t="s">
        <v>173</v>
      </c>
      <c r="B49" s="8" t="s">
        <v>52</v>
      </c>
      <c r="C49" s="8" t="s">
        <v>53</v>
      </c>
      <c r="D49" s="8" t="s">
        <v>36</v>
      </c>
      <c r="E49" s="8" t="s">
        <v>174</v>
      </c>
      <c r="F49" s="8" t="s">
        <v>175</v>
      </c>
      <c r="G49" s="9">
        <v>46201</v>
      </c>
      <c r="H49" s="9">
        <v>46246</v>
      </c>
      <c r="I49" s="10">
        <v>150166.82</v>
      </c>
      <c r="J49" s="8" t="s">
        <v>13</v>
      </c>
      <c r="K49" s="8"/>
      <c r="L49" s="8">
        <f t="shared" ca="1" si="2"/>
        <v>61</v>
      </c>
      <c r="M49" s="8" t="str">
        <f t="shared" ca="1" si="3"/>
        <v>61-90 Days</v>
      </c>
    </row>
    <row r="50" spans="1:13" x14ac:dyDescent="0.3">
      <c r="A50" s="8" t="s">
        <v>176</v>
      </c>
      <c r="B50" s="8" t="s">
        <v>125</v>
      </c>
      <c r="C50" s="8" t="s">
        <v>126</v>
      </c>
      <c r="D50" s="8" t="s">
        <v>45</v>
      </c>
      <c r="E50" s="8"/>
      <c r="F50" s="8"/>
      <c r="G50" s="9">
        <v>46264</v>
      </c>
      <c r="H50" s="9">
        <v>46324</v>
      </c>
      <c r="I50" s="10">
        <v>115991.25</v>
      </c>
      <c r="J50" s="8" t="s">
        <v>17</v>
      </c>
      <c r="K50" s="8"/>
      <c r="L50" s="8">
        <f t="shared" ca="1" si="2"/>
        <v>0</v>
      </c>
      <c r="M50" s="8" t="str">
        <f t="shared" si="3"/>
        <v>Paid</v>
      </c>
    </row>
    <row r="51" spans="1:13" x14ac:dyDescent="0.3">
      <c r="A51" s="8" t="s">
        <v>177</v>
      </c>
      <c r="B51" s="8" t="s">
        <v>83</v>
      </c>
      <c r="C51" s="8" t="s">
        <v>84</v>
      </c>
      <c r="D51" s="8" t="s">
        <v>36</v>
      </c>
      <c r="E51" s="8" t="s">
        <v>178</v>
      </c>
      <c r="F51" s="8" t="s">
        <v>179</v>
      </c>
      <c r="G51" s="9">
        <v>46298</v>
      </c>
      <c r="H51" s="9">
        <v>46328</v>
      </c>
      <c r="I51" s="10">
        <v>96652.42</v>
      </c>
      <c r="J51" s="8" t="s">
        <v>13</v>
      </c>
      <c r="K51" s="8"/>
      <c r="L51" s="8">
        <f t="shared" ca="1" si="2"/>
        <v>0</v>
      </c>
      <c r="M51" s="8" t="str">
        <f t="shared" ca="1" si="3"/>
        <v>Not Due</v>
      </c>
    </row>
    <row r="52" spans="1:13" x14ac:dyDescent="0.3">
      <c r="A52" s="8" t="s">
        <v>180</v>
      </c>
      <c r="B52" s="8" t="s">
        <v>83</v>
      </c>
      <c r="C52" s="8" t="s">
        <v>84</v>
      </c>
      <c r="D52" s="8" t="s">
        <v>36</v>
      </c>
      <c r="E52" s="8" t="s">
        <v>181</v>
      </c>
      <c r="F52" s="8" t="s">
        <v>182</v>
      </c>
      <c r="G52" s="9">
        <v>46205</v>
      </c>
      <c r="H52" s="9">
        <v>46220</v>
      </c>
      <c r="I52" s="10">
        <v>122431.77</v>
      </c>
      <c r="J52" s="8" t="s">
        <v>17</v>
      </c>
      <c r="K52" s="8"/>
      <c r="L52" s="8">
        <f t="shared" ca="1" si="2"/>
        <v>0</v>
      </c>
      <c r="M52" s="8" t="str">
        <f t="shared" si="3"/>
        <v>Paid</v>
      </c>
    </row>
    <row r="53" spans="1:13" x14ac:dyDescent="0.3">
      <c r="A53" s="8" t="s">
        <v>183</v>
      </c>
      <c r="B53" s="8" t="s">
        <v>125</v>
      </c>
      <c r="C53" s="8" t="s">
        <v>126</v>
      </c>
      <c r="D53" s="8" t="s">
        <v>36</v>
      </c>
      <c r="E53" s="8" t="s">
        <v>184</v>
      </c>
      <c r="F53" s="8" t="s">
        <v>185</v>
      </c>
      <c r="G53" s="9">
        <v>46284</v>
      </c>
      <c r="H53" s="9">
        <v>46329</v>
      </c>
      <c r="I53" s="10">
        <v>110452.38</v>
      </c>
      <c r="J53" s="8" t="s">
        <v>15</v>
      </c>
      <c r="K53" s="8" t="s">
        <v>93</v>
      </c>
      <c r="L53" s="8">
        <f t="shared" ca="1" si="2"/>
        <v>0</v>
      </c>
      <c r="M53" s="8" t="str">
        <f t="shared" ca="1" si="3"/>
        <v>Not Due</v>
      </c>
    </row>
    <row r="54" spans="1:13" x14ac:dyDescent="0.3">
      <c r="A54" s="8" t="s">
        <v>186</v>
      </c>
      <c r="B54" s="8" t="s">
        <v>125</v>
      </c>
      <c r="C54" s="8" t="s">
        <v>126</v>
      </c>
      <c r="D54" s="8" t="s">
        <v>36</v>
      </c>
      <c r="E54" s="8" t="s">
        <v>187</v>
      </c>
      <c r="F54" s="8" t="s">
        <v>188</v>
      </c>
      <c r="G54" s="9">
        <v>46279</v>
      </c>
      <c r="H54" s="9">
        <v>46309</v>
      </c>
      <c r="I54" s="10">
        <v>148703.26</v>
      </c>
      <c r="J54" s="8" t="s">
        <v>15</v>
      </c>
      <c r="K54" s="8" t="s">
        <v>123</v>
      </c>
      <c r="L54" s="8">
        <f t="shared" ca="1" si="2"/>
        <v>0</v>
      </c>
      <c r="M54" s="8" t="str">
        <f t="shared" ca="1" si="3"/>
        <v>Not Due</v>
      </c>
    </row>
    <row r="55" spans="1:13" x14ac:dyDescent="0.3">
      <c r="A55" s="8" t="s">
        <v>189</v>
      </c>
      <c r="B55" s="8" t="s">
        <v>34</v>
      </c>
      <c r="C55" s="8" t="s">
        <v>35</v>
      </c>
      <c r="D55" s="8" t="s">
        <v>45</v>
      </c>
      <c r="E55" s="8"/>
      <c r="F55" s="8"/>
      <c r="G55" s="9">
        <v>46195</v>
      </c>
      <c r="H55" s="9">
        <v>46240</v>
      </c>
      <c r="I55" s="10">
        <v>13000.15</v>
      </c>
      <c r="J55" s="8" t="s">
        <v>13</v>
      </c>
      <c r="K55" s="8"/>
      <c r="L55" s="8">
        <f t="shared" ca="1" si="2"/>
        <v>67</v>
      </c>
      <c r="M55" s="8" t="str">
        <f t="shared" ca="1" si="3"/>
        <v>61-90 Days</v>
      </c>
    </row>
    <row r="56" spans="1:13" x14ac:dyDescent="0.3">
      <c r="A56" s="8" t="s">
        <v>190</v>
      </c>
      <c r="B56" s="8" t="s">
        <v>83</v>
      </c>
      <c r="C56" s="8" t="s">
        <v>84</v>
      </c>
      <c r="D56" s="8" t="s">
        <v>45</v>
      </c>
      <c r="E56" s="8"/>
      <c r="F56" s="8"/>
      <c r="G56" s="9">
        <v>46235</v>
      </c>
      <c r="H56" s="9">
        <v>46265</v>
      </c>
      <c r="I56" s="10">
        <v>100311.43</v>
      </c>
      <c r="J56" s="8" t="s">
        <v>13</v>
      </c>
      <c r="K56" s="8"/>
      <c r="L56" s="8">
        <f t="shared" ca="1" si="2"/>
        <v>42</v>
      </c>
      <c r="M56" s="8" t="str">
        <f t="shared" ca="1" si="3"/>
        <v>31-60 Days</v>
      </c>
    </row>
    <row r="57" spans="1:13" x14ac:dyDescent="0.3">
      <c r="A57" s="8" t="s">
        <v>191</v>
      </c>
      <c r="B57" s="8" t="s">
        <v>34</v>
      </c>
      <c r="C57" s="8" t="s">
        <v>35</v>
      </c>
      <c r="D57" s="8" t="s">
        <v>36</v>
      </c>
      <c r="E57" s="8" t="s">
        <v>192</v>
      </c>
      <c r="F57" s="8" t="s">
        <v>193</v>
      </c>
      <c r="G57" s="9">
        <v>46192</v>
      </c>
      <c r="H57" s="9">
        <v>46252</v>
      </c>
      <c r="I57" s="10">
        <v>3122.58</v>
      </c>
      <c r="J57" s="8" t="s">
        <v>15</v>
      </c>
      <c r="K57" s="8" t="s">
        <v>69</v>
      </c>
      <c r="L57" s="8">
        <f t="shared" ca="1" si="2"/>
        <v>55</v>
      </c>
      <c r="M57" s="8" t="str">
        <f t="shared" ca="1" si="3"/>
        <v>31-60 Days</v>
      </c>
    </row>
    <row r="58" spans="1:13" x14ac:dyDescent="0.3">
      <c r="A58" s="8" t="s">
        <v>194</v>
      </c>
      <c r="B58" s="8" t="s">
        <v>83</v>
      </c>
      <c r="C58" s="8" t="s">
        <v>84</v>
      </c>
      <c r="D58" s="8" t="s">
        <v>36</v>
      </c>
      <c r="E58" s="8" t="s">
        <v>195</v>
      </c>
      <c r="F58" s="8"/>
      <c r="G58" s="9">
        <v>46216</v>
      </c>
      <c r="H58" s="9">
        <v>46276</v>
      </c>
      <c r="I58" s="10">
        <v>56846.58</v>
      </c>
      <c r="J58" s="8" t="s">
        <v>17</v>
      </c>
      <c r="K58" s="8"/>
      <c r="L58" s="8">
        <f t="shared" ca="1" si="2"/>
        <v>0</v>
      </c>
      <c r="M58" s="8" t="str">
        <f t="shared" si="3"/>
        <v>Paid</v>
      </c>
    </row>
    <row r="59" spans="1:13" x14ac:dyDescent="0.3">
      <c r="A59" s="8" t="s">
        <v>196</v>
      </c>
      <c r="B59" s="8" t="s">
        <v>47</v>
      </c>
      <c r="C59" s="8" t="s">
        <v>48</v>
      </c>
      <c r="D59" s="8" t="s">
        <v>36</v>
      </c>
      <c r="E59" s="8" t="s">
        <v>197</v>
      </c>
      <c r="F59" s="8" t="s">
        <v>198</v>
      </c>
      <c r="G59" s="9">
        <v>46277</v>
      </c>
      <c r="H59" s="9">
        <v>46292</v>
      </c>
      <c r="I59" s="10">
        <v>56801.29</v>
      </c>
      <c r="J59" s="8" t="s">
        <v>15</v>
      </c>
      <c r="K59" s="8" t="s">
        <v>93</v>
      </c>
      <c r="L59" s="8">
        <f t="shared" ca="1" si="2"/>
        <v>15</v>
      </c>
      <c r="M59" s="8" t="str">
        <f t="shared" ca="1" si="3"/>
        <v>1-30 Days</v>
      </c>
    </row>
    <row r="60" spans="1:13" x14ac:dyDescent="0.3">
      <c r="A60" s="8" t="s">
        <v>199</v>
      </c>
      <c r="B60" s="8" t="s">
        <v>125</v>
      </c>
      <c r="C60" s="8" t="s">
        <v>126</v>
      </c>
      <c r="D60" s="8" t="s">
        <v>36</v>
      </c>
      <c r="E60" s="8" t="s">
        <v>200</v>
      </c>
      <c r="F60" s="8" t="s">
        <v>201</v>
      </c>
      <c r="G60" s="9">
        <v>46272</v>
      </c>
      <c r="H60" s="9">
        <v>46287</v>
      </c>
      <c r="I60" s="10">
        <v>49208.94</v>
      </c>
      <c r="J60" s="8" t="s">
        <v>13</v>
      </c>
      <c r="K60" s="8"/>
      <c r="L60" s="8">
        <f t="shared" ca="1" si="2"/>
        <v>20</v>
      </c>
      <c r="M60" s="8" t="str">
        <f t="shared" ca="1" si="3"/>
        <v>1-30 Days</v>
      </c>
    </row>
    <row r="61" spans="1:13" x14ac:dyDescent="0.3">
      <c r="A61" s="8" t="s">
        <v>202</v>
      </c>
      <c r="B61" s="8" t="s">
        <v>57</v>
      </c>
      <c r="C61" s="8" t="s">
        <v>58</v>
      </c>
      <c r="D61" s="8" t="s">
        <v>36</v>
      </c>
      <c r="E61" s="8" t="s">
        <v>203</v>
      </c>
      <c r="F61" s="8" t="s">
        <v>204</v>
      </c>
      <c r="G61" s="9">
        <v>46270</v>
      </c>
      <c r="H61" s="9">
        <v>46315</v>
      </c>
      <c r="I61" s="10">
        <v>138202.07999999999</v>
      </c>
      <c r="J61" s="8" t="s">
        <v>17</v>
      </c>
      <c r="K61" s="8"/>
      <c r="L61" s="8">
        <f t="shared" ca="1" si="2"/>
        <v>0</v>
      </c>
      <c r="M61" s="8" t="str">
        <f t="shared" si="3"/>
        <v>Paid</v>
      </c>
    </row>
    <row r="62" spans="1:13" x14ac:dyDescent="0.3">
      <c r="A62" s="8" t="s">
        <v>205</v>
      </c>
      <c r="B62" s="8" t="s">
        <v>43</v>
      </c>
      <c r="C62" s="8" t="s">
        <v>44</v>
      </c>
      <c r="D62" s="8" t="s">
        <v>45</v>
      </c>
      <c r="E62" s="8"/>
      <c r="F62" s="8"/>
      <c r="G62" s="9">
        <v>46281</v>
      </c>
      <c r="H62" s="9">
        <v>46326</v>
      </c>
      <c r="I62" s="10">
        <v>6859.11</v>
      </c>
      <c r="J62" s="8" t="s">
        <v>13</v>
      </c>
      <c r="K62" s="8"/>
      <c r="L62" s="8">
        <f t="shared" ca="1" si="2"/>
        <v>0</v>
      </c>
      <c r="M62" s="8" t="str">
        <f t="shared" ca="1" si="3"/>
        <v>Not Due</v>
      </c>
    </row>
    <row r="63" spans="1:13" x14ac:dyDescent="0.3">
      <c r="A63" s="8" t="s">
        <v>206</v>
      </c>
      <c r="B63" s="8" t="s">
        <v>83</v>
      </c>
      <c r="C63" s="8" t="s">
        <v>84</v>
      </c>
      <c r="D63" s="8" t="s">
        <v>36</v>
      </c>
      <c r="E63" s="8" t="s">
        <v>207</v>
      </c>
      <c r="F63" s="8"/>
      <c r="G63" s="9">
        <v>46262</v>
      </c>
      <c r="H63" s="9">
        <v>46292</v>
      </c>
      <c r="I63" s="10">
        <v>45839.65</v>
      </c>
      <c r="J63" s="8" t="s">
        <v>17</v>
      </c>
      <c r="K63" s="8"/>
      <c r="L63" s="8">
        <f t="shared" ca="1" si="2"/>
        <v>0</v>
      </c>
      <c r="M63" s="8" t="str">
        <f t="shared" si="3"/>
        <v>Paid</v>
      </c>
    </row>
    <row r="64" spans="1:13" x14ac:dyDescent="0.3">
      <c r="A64" s="8" t="s">
        <v>208</v>
      </c>
      <c r="B64" s="8" t="s">
        <v>52</v>
      </c>
      <c r="C64" s="8" t="s">
        <v>53</v>
      </c>
      <c r="D64" s="8" t="s">
        <v>36</v>
      </c>
      <c r="E64" s="8" t="s">
        <v>209</v>
      </c>
      <c r="F64" s="8" t="s">
        <v>210</v>
      </c>
      <c r="G64" s="9">
        <v>46299</v>
      </c>
      <c r="H64" s="9">
        <v>46329</v>
      </c>
      <c r="I64" s="10">
        <v>36777.919999999998</v>
      </c>
      <c r="J64" s="8" t="s">
        <v>13</v>
      </c>
      <c r="K64" s="8"/>
      <c r="L64" s="8">
        <f t="shared" ca="1" si="2"/>
        <v>0</v>
      </c>
      <c r="M64" s="8" t="str">
        <f t="shared" ca="1" si="3"/>
        <v>Not Due</v>
      </c>
    </row>
    <row r="65" spans="1:13" x14ac:dyDescent="0.3">
      <c r="A65" s="8" t="s">
        <v>211</v>
      </c>
      <c r="B65" s="8" t="s">
        <v>91</v>
      </c>
      <c r="C65" s="8" t="s">
        <v>92</v>
      </c>
      <c r="D65" s="8" t="s">
        <v>36</v>
      </c>
      <c r="E65" s="8" t="s">
        <v>212</v>
      </c>
      <c r="F65" s="8" t="s">
        <v>213</v>
      </c>
      <c r="G65" s="9">
        <v>46231</v>
      </c>
      <c r="H65" s="9">
        <v>46291</v>
      </c>
      <c r="I65" s="10">
        <v>49906.48</v>
      </c>
      <c r="J65" s="8" t="s">
        <v>13</v>
      </c>
      <c r="K65" s="8"/>
      <c r="L65" s="8">
        <f t="shared" ca="1" si="2"/>
        <v>16</v>
      </c>
      <c r="M65" s="8" t="str">
        <f t="shared" ca="1" si="3"/>
        <v>1-30 Days</v>
      </c>
    </row>
    <row r="66" spans="1:13" x14ac:dyDescent="0.3">
      <c r="A66" s="8" t="s">
        <v>214</v>
      </c>
      <c r="B66" s="8" t="s">
        <v>47</v>
      </c>
      <c r="C66" s="8" t="s">
        <v>48</v>
      </c>
      <c r="D66" s="8" t="s">
        <v>45</v>
      </c>
      <c r="E66" s="8"/>
      <c r="F66" s="8"/>
      <c r="G66" s="9">
        <v>46236</v>
      </c>
      <c r="H66" s="9">
        <v>46296</v>
      </c>
      <c r="I66" s="10">
        <v>60411.07</v>
      </c>
      <c r="J66" s="8" t="s">
        <v>13</v>
      </c>
      <c r="K66" s="8"/>
      <c r="L66" s="8">
        <f t="shared" ref="L66:L101" ca="1" si="4">IF(OR(J66="Paid",H66&gt;=TODAY()),0,TODAY()-H66)</f>
        <v>11</v>
      </c>
      <c r="M66" s="8" t="str">
        <f t="shared" ref="M66:M97" ca="1" si="5">IF(J66="Paid","Paid",IF(L66=0,"Not Due",IF(L66&lt;=30,"1-30 Days",IF(L66&lt;=60,"31-60 Days",IF(L66&lt;=90,"61-90 Days","90+ Days")))))</f>
        <v>1-30 Days</v>
      </c>
    </row>
    <row r="67" spans="1:13" x14ac:dyDescent="0.3">
      <c r="A67" s="8" t="s">
        <v>215</v>
      </c>
      <c r="B67" s="8" t="s">
        <v>83</v>
      </c>
      <c r="C67" s="8" t="s">
        <v>84</v>
      </c>
      <c r="D67" s="8" t="s">
        <v>36</v>
      </c>
      <c r="E67" s="8" t="s">
        <v>216</v>
      </c>
      <c r="F67" s="8"/>
      <c r="G67" s="9">
        <v>46252</v>
      </c>
      <c r="H67" s="9">
        <v>46312</v>
      </c>
      <c r="I67" s="10">
        <v>67303.539999999994</v>
      </c>
      <c r="J67" s="8" t="s">
        <v>17</v>
      </c>
      <c r="K67" s="8"/>
      <c r="L67" s="8">
        <f t="shared" ca="1" si="4"/>
        <v>0</v>
      </c>
      <c r="M67" s="8" t="str">
        <f t="shared" si="5"/>
        <v>Paid</v>
      </c>
    </row>
    <row r="68" spans="1:13" x14ac:dyDescent="0.3">
      <c r="A68" s="8" t="s">
        <v>217</v>
      </c>
      <c r="B68" s="8" t="s">
        <v>43</v>
      </c>
      <c r="C68" s="8" t="s">
        <v>44</v>
      </c>
      <c r="D68" s="8" t="s">
        <v>45</v>
      </c>
      <c r="E68" s="8"/>
      <c r="F68" s="8"/>
      <c r="G68" s="9">
        <v>46183</v>
      </c>
      <c r="H68" s="9">
        <v>46198</v>
      </c>
      <c r="I68" s="10">
        <v>21751.38</v>
      </c>
      <c r="J68" s="8" t="s">
        <v>17</v>
      </c>
      <c r="K68" s="8"/>
      <c r="L68" s="8">
        <f t="shared" ca="1" si="4"/>
        <v>0</v>
      </c>
      <c r="M68" s="8" t="str">
        <f t="shared" si="5"/>
        <v>Paid</v>
      </c>
    </row>
    <row r="69" spans="1:13" x14ac:dyDescent="0.3">
      <c r="A69" s="8" t="s">
        <v>218</v>
      </c>
      <c r="B69" s="8" t="s">
        <v>43</v>
      </c>
      <c r="C69" s="8" t="s">
        <v>44</v>
      </c>
      <c r="D69" s="8" t="s">
        <v>45</v>
      </c>
      <c r="E69" s="8"/>
      <c r="F69" s="8"/>
      <c r="G69" s="9">
        <v>46304</v>
      </c>
      <c r="H69" s="9">
        <v>46334</v>
      </c>
      <c r="I69" s="10">
        <v>76076.039999999994</v>
      </c>
      <c r="J69" s="8" t="s">
        <v>13</v>
      </c>
      <c r="K69" s="8"/>
      <c r="L69" s="8">
        <f t="shared" ca="1" si="4"/>
        <v>0</v>
      </c>
      <c r="M69" s="8" t="str">
        <f t="shared" ca="1" si="5"/>
        <v>Not Due</v>
      </c>
    </row>
    <row r="70" spans="1:13" x14ac:dyDescent="0.3">
      <c r="A70" s="8" t="s">
        <v>219</v>
      </c>
      <c r="B70" s="8" t="s">
        <v>125</v>
      </c>
      <c r="C70" s="8" t="s">
        <v>126</v>
      </c>
      <c r="D70" s="8" t="s">
        <v>45</v>
      </c>
      <c r="E70" s="8"/>
      <c r="F70" s="8"/>
      <c r="G70" s="9">
        <v>46218</v>
      </c>
      <c r="H70" s="9">
        <v>46263</v>
      </c>
      <c r="I70" s="10">
        <v>100370.15</v>
      </c>
      <c r="J70" s="8" t="s">
        <v>15</v>
      </c>
      <c r="K70" s="8" t="s">
        <v>119</v>
      </c>
      <c r="L70" s="8">
        <f t="shared" ca="1" si="4"/>
        <v>44</v>
      </c>
      <c r="M70" s="8" t="str">
        <f t="shared" ca="1" si="5"/>
        <v>31-60 Days</v>
      </c>
    </row>
    <row r="71" spans="1:13" x14ac:dyDescent="0.3">
      <c r="A71" s="8" t="s">
        <v>220</v>
      </c>
      <c r="B71" s="8" t="s">
        <v>52</v>
      </c>
      <c r="C71" s="8" t="s">
        <v>53</v>
      </c>
      <c r="D71" s="8" t="s">
        <v>36</v>
      </c>
      <c r="E71" s="8" t="s">
        <v>221</v>
      </c>
      <c r="F71" s="8" t="s">
        <v>222</v>
      </c>
      <c r="G71" s="9">
        <v>46296</v>
      </c>
      <c r="H71" s="9">
        <v>46311</v>
      </c>
      <c r="I71" s="10">
        <v>125580.88</v>
      </c>
      <c r="J71" s="8" t="s">
        <v>15</v>
      </c>
      <c r="K71" s="8" t="s">
        <v>66</v>
      </c>
      <c r="L71" s="8">
        <f t="shared" ca="1" si="4"/>
        <v>0</v>
      </c>
      <c r="M71" s="8" t="str">
        <f t="shared" ca="1" si="5"/>
        <v>Not Due</v>
      </c>
    </row>
    <row r="72" spans="1:13" x14ac:dyDescent="0.3">
      <c r="A72" s="8" t="s">
        <v>223</v>
      </c>
      <c r="B72" s="8" t="s">
        <v>71</v>
      </c>
      <c r="C72" s="8" t="s">
        <v>72</v>
      </c>
      <c r="D72" s="8" t="s">
        <v>36</v>
      </c>
      <c r="E72" s="8" t="s">
        <v>224</v>
      </c>
      <c r="F72" s="8" t="s">
        <v>225</v>
      </c>
      <c r="G72" s="9">
        <v>46193</v>
      </c>
      <c r="H72" s="9">
        <v>46208</v>
      </c>
      <c r="I72" s="10">
        <v>103605.97</v>
      </c>
      <c r="J72" s="8" t="s">
        <v>17</v>
      </c>
      <c r="K72" s="8"/>
      <c r="L72" s="8">
        <f t="shared" ca="1" si="4"/>
        <v>0</v>
      </c>
      <c r="M72" s="8" t="str">
        <f t="shared" si="5"/>
        <v>Paid</v>
      </c>
    </row>
    <row r="73" spans="1:13" x14ac:dyDescent="0.3">
      <c r="A73" s="8" t="s">
        <v>226</v>
      </c>
      <c r="B73" s="8" t="s">
        <v>125</v>
      </c>
      <c r="C73" s="8" t="s">
        <v>126</v>
      </c>
      <c r="D73" s="8" t="s">
        <v>45</v>
      </c>
      <c r="E73" s="8"/>
      <c r="F73" s="8"/>
      <c r="G73" s="9">
        <v>46164</v>
      </c>
      <c r="H73" s="9">
        <v>46179</v>
      </c>
      <c r="I73" s="10">
        <v>183459.85</v>
      </c>
      <c r="J73" s="8" t="s">
        <v>19</v>
      </c>
      <c r="K73" s="8" t="s">
        <v>93</v>
      </c>
      <c r="L73" s="8">
        <f t="shared" ca="1" si="4"/>
        <v>128</v>
      </c>
      <c r="M73" s="8" t="str">
        <f t="shared" ca="1" si="5"/>
        <v>90+ Days</v>
      </c>
    </row>
    <row r="74" spans="1:13" x14ac:dyDescent="0.3">
      <c r="A74" s="8" t="s">
        <v>227</v>
      </c>
      <c r="B74" s="8" t="s">
        <v>52</v>
      </c>
      <c r="C74" s="8" t="s">
        <v>53</v>
      </c>
      <c r="D74" s="8" t="s">
        <v>36</v>
      </c>
      <c r="E74" s="8" t="s">
        <v>228</v>
      </c>
      <c r="F74" s="8" t="s">
        <v>229</v>
      </c>
      <c r="G74" s="9">
        <v>46176</v>
      </c>
      <c r="H74" s="9">
        <v>46206</v>
      </c>
      <c r="I74" s="10">
        <v>144057.4</v>
      </c>
      <c r="J74" s="8" t="s">
        <v>17</v>
      </c>
      <c r="K74" s="8"/>
      <c r="L74" s="8">
        <f t="shared" ca="1" si="4"/>
        <v>0</v>
      </c>
      <c r="M74" s="8" t="str">
        <f t="shared" si="5"/>
        <v>Paid</v>
      </c>
    </row>
    <row r="75" spans="1:13" x14ac:dyDescent="0.3">
      <c r="A75" s="8" t="s">
        <v>230</v>
      </c>
      <c r="B75" s="8" t="s">
        <v>71</v>
      </c>
      <c r="C75" s="8" t="s">
        <v>72</v>
      </c>
      <c r="D75" s="8" t="s">
        <v>36</v>
      </c>
      <c r="E75" s="8" t="s">
        <v>231</v>
      </c>
      <c r="F75" s="8"/>
      <c r="G75" s="9">
        <v>46232</v>
      </c>
      <c r="H75" s="9">
        <v>46277</v>
      </c>
      <c r="I75" s="10">
        <v>65188.03</v>
      </c>
      <c r="J75" s="8" t="s">
        <v>13</v>
      </c>
      <c r="K75" s="8"/>
      <c r="L75" s="8">
        <f t="shared" ca="1" si="4"/>
        <v>30</v>
      </c>
      <c r="M75" s="8" t="str">
        <f t="shared" ca="1" si="5"/>
        <v>1-30 Days</v>
      </c>
    </row>
    <row r="76" spans="1:13" x14ac:dyDescent="0.3">
      <c r="A76" s="8" t="s">
        <v>232</v>
      </c>
      <c r="B76" s="8" t="s">
        <v>57</v>
      </c>
      <c r="C76" s="8" t="s">
        <v>58</v>
      </c>
      <c r="D76" s="8" t="s">
        <v>36</v>
      </c>
      <c r="E76" s="8" t="s">
        <v>233</v>
      </c>
      <c r="F76" s="8"/>
      <c r="G76" s="9">
        <v>46233</v>
      </c>
      <c r="H76" s="9">
        <v>46278</v>
      </c>
      <c r="I76" s="10">
        <v>38794.839999999997</v>
      </c>
      <c r="J76" s="8" t="s">
        <v>15</v>
      </c>
      <c r="K76" s="8" t="s">
        <v>66</v>
      </c>
      <c r="L76" s="8">
        <f t="shared" ca="1" si="4"/>
        <v>29</v>
      </c>
      <c r="M76" s="8" t="str">
        <f t="shared" ca="1" si="5"/>
        <v>1-30 Days</v>
      </c>
    </row>
    <row r="77" spans="1:13" x14ac:dyDescent="0.3">
      <c r="A77" s="8" t="s">
        <v>234</v>
      </c>
      <c r="B77" s="8" t="s">
        <v>47</v>
      </c>
      <c r="C77" s="8" t="s">
        <v>48</v>
      </c>
      <c r="D77" s="8" t="s">
        <v>45</v>
      </c>
      <c r="E77" s="8"/>
      <c r="F77" s="8"/>
      <c r="G77" s="9">
        <v>46234</v>
      </c>
      <c r="H77" s="9">
        <v>46294</v>
      </c>
      <c r="I77" s="10">
        <v>164119.78</v>
      </c>
      <c r="J77" s="8" t="s">
        <v>17</v>
      </c>
      <c r="K77" s="8"/>
      <c r="L77" s="8">
        <f t="shared" ca="1" si="4"/>
        <v>0</v>
      </c>
      <c r="M77" s="8" t="str">
        <f t="shared" si="5"/>
        <v>Paid</v>
      </c>
    </row>
    <row r="78" spans="1:13" x14ac:dyDescent="0.3">
      <c r="A78" s="8" t="s">
        <v>235</v>
      </c>
      <c r="B78" s="8" t="s">
        <v>43</v>
      </c>
      <c r="C78" s="8" t="s">
        <v>44</v>
      </c>
      <c r="D78" s="8" t="s">
        <v>36</v>
      </c>
      <c r="E78" s="8" t="s">
        <v>236</v>
      </c>
      <c r="F78" s="8" t="s">
        <v>237</v>
      </c>
      <c r="G78" s="9">
        <v>46204</v>
      </c>
      <c r="H78" s="9">
        <v>46234</v>
      </c>
      <c r="I78" s="10">
        <v>22032.75</v>
      </c>
      <c r="J78" s="8" t="s">
        <v>13</v>
      </c>
      <c r="K78" s="8"/>
      <c r="L78" s="8">
        <f t="shared" ca="1" si="4"/>
        <v>73</v>
      </c>
      <c r="M78" s="8" t="str">
        <f t="shared" ca="1" si="5"/>
        <v>61-90 Days</v>
      </c>
    </row>
    <row r="79" spans="1:13" x14ac:dyDescent="0.3">
      <c r="A79" s="8" t="s">
        <v>238</v>
      </c>
      <c r="B79" s="8" t="s">
        <v>91</v>
      </c>
      <c r="C79" s="8" t="s">
        <v>92</v>
      </c>
      <c r="D79" s="8" t="s">
        <v>36</v>
      </c>
      <c r="E79" s="8" t="s">
        <v>239</v>
      </c>
      <c r="F79" s="8"/>
      <c r="G79" s="9">
        <v>46195</v>
      </c>
      <c r="H79" s="9">
        <v>46255</v>
      </c>
      <c r="I79" s="10">
        <v>113182.23</v>
      </c>
      <c r="J79" s="8" t="s">
        <v>17</v>
      </c>
      <c r="K79" s="8"/>
      <c r="L79" s="8">
        <f t="shared" ca="1" si="4"/>
        <v>0</v>
      </c>
      <c r="M79" s="8" t="str">
        <f t="shared" si="5"/>
        <v>Paid</v>
      </c>
    </row>
    <row r="80" spans="1:13" x14ac:dyDescent="0.3">
      <c r="A80" s="8" t="s">
        <v>240</v>
      </c>
      <c r="B80" s="8" t="s">
        <v>47</v>
      </c>
      <c r="C80" s="8" t="s">
        <v>48</v>
      </c>
      <c r="D80" s="8" t="s">
        <v>36</v>
      </c>
      <c r="E80" s="8" t="s">
        <v>241</v>
      </c>
      <c r="F80" s="8"/>
      <c r="G80" s="9">
        <v>46189</v>
      </c>
      <c r="H80" s="9">
        <v>46249</v>
      </c>
      <c r="I80" s="10">
        <v>86131.49</v>
      </c>
      <c r="J80" s="8" t="s">
        <v>15</v>
      </c>
      <c r="K80" s="8" t="s">
        <v>66</v>
      </c>
      <c r="L80" s="8">
        <f t="shared" ca="1" si="4"/>
        <v>58</v>
      </c>
      <c r="M80" s="8" t="str">
        <f t="shared" ca="1" si="5"/>
        <v>31-60 Days</v>
      </c>
    </row>
    <row r="81" spans="1:13" x14ac:dyDescent="0.3">
      <c r="A81" s="8" t="s">
        <v>242</v>
      </c>
      <c r="B81" s="8" t="s">
        <v>34</v>
      </c>
      <c r="C81" s="8" t="s">
        <v>35</v>
      </c>
      <c r="D81" s="8" t="s">
        <v>36</v>
      </c>
      <c r="E81" s="8" t="s">
        <v>243</v>
      </c>
      <c r="F81" s="8" t="s">
        <v>244</v>
      </c>
      <c r="G81" s="9">
        <v>46203</v>
      </c>
      <c r="H81" s="9">
        <v>46263</v>
      </c>
      <c r="I81" s="10">
        <v>145009.13</v>
      </c>
      <c r="J81" s="8" t="s">
        <v>17</v>
      </c>
      <c r="K81" s="8"/>
      <c r="L81" s="8">
        <f t="shared" ca="1" si="4"/>
        <v>0</v>
      </c>
      <c r="M81" s="8" t="str">
        <f t="shared" si="5"/>
        <v>Paid</v>
      </c>
    </row>
    <row r="82" spans="1:13" x14ac:dyDescent="0.3">
      <c r="A82" s="8" t="s">
        <v>245</v>
      </c>
      <c r="B82" s="8" t="s">
        <v>34</v>
      </c>
      <c r="C82" s="8" t="s">
        <v>35</v>
      </c>
      <c r="D82" s="8" t="s">
        <v>36</v>
      </c>
      <c r="E82" s="8" t="s">
        <v>246</v>
      </c>
      <c r="F82" s="8" t="s">
        <v>247</v>
      </c>
      <c r="G82" s="9">
        <v>46199</v>
      </c>
      <c r="H82" s="9">
        <v>46229</v>
      </c>
      <c r="I82" s="10">
        <v>157490.78</v>
      </c>
      <c r="J82" s="8" t="s">
        <v>15</v>
      </c>
      <c r="K82" s="8" t="s">
        <v>130</v>
      </c>
      <c r="L82" s="8">
        <f t="shared" ca="1" si="4"/>
        <v>78</v>
      </c>
      <c r="M82" s="8" t="str">
        <f t="shared" ca="1" si="5"/>
        <v>61-90 Days</v>
      </c>
    </row>
    <row r="83" spans="1:13" x14ac:dyDescent="0.3">
      <c r="A83" s="8" t="s">
        <v>248</v>
      </c>
      <c r="B83" s="8" t="s">
        <v>47</v>
      </c>
      <c r="C83" s="8" t="s">
        <v>48</v>
      </c>
      <c r="D83" s="8" t="s">
        <v>36</v>
      </c>
      <c r="E83" s="8" t="s">
        <v>249</v>
      </c>
      <c r="F83" s="8" t="s">
        <v>250</v>
      </c>
      <c r="G83" s="9">
        <v>46269</v>
      </c>
      <c r="H83" s="9">
        <v>46314</v>
      </c>
      <c r="I83" s="10">
        <v>12311.24</v>
      </c>
      <c r="J83" s="8" t="s">
        <v>13</v>
      </c>
      <c r="K83" s="8"/>
      <c r="L83" s="8">
        <f t="shared" ca="1" si="4"/>
        <v>0</v>
      </c>
      <c r="M83" s="8" t="str">
        <f t="shared" ca="1" si="5"/>
        <v>Not Due</v>
      </c>
    </row>
    <row r="84" spans="1:13" x14ac:dyDescent="0.3">
      <c r="A84" s="8" t="s">
        <v>251</v>
      </c>
      <c r="B84" s="8" t="s">
        <v>83</v>
      </c>
      <c r="C84" s="8" t="s">
        <v>84</v>
      </c>
      <c r="D84" s="8" t="s">
        <v>36</v>
      </c>
      <c r="E84" s="8" t="s">
        <v>252</v>
      </c>
      <c r="F84" s="8" t="s">
        <v>253</v>
      </c>
      <c r="G84" s="9">
        <v>46307</v>
      </c>
      <c r="H84" s="9">
        <v>46322</v>
      </c>
      <c r="I84" s="10">
        <v>25960.26</v>
      </c>
      <c r="J84" s="8" t="s">
        <v>17</v>
      </c>
      <c r="K84" s="8"/>
      <c r="L84" s="8">
        <f t="shared" ca="1" si="4"/>
        <v>0</v>
      </c>
      <c r="M84" s="8" t="str">
        <f t="shared" si="5"/>
        <v>Paid</v>
      </c>
    </row>
    <row r="85" spans="1:13" x14ac:dyDescent="0.3">
      <c r="A85" s="8" t="s">
        <v>254</v>
      </c>
      <c r="B85" s="8" t="s">
        <v>83</v>
      </c>
      <c r="C85" s="8" t="s">
        <v>84</v>
      </c>
      <c r="D85" s="8" t="s">
        <v>36</v>
      </c>
      <c r="E85" s="8" t="s">
        <v>255</v>
      </c>
      <c r="F85" s="8"/>
      <c r="G85" s="9">
        <v>46187</v>
      </c>
      <c r="H85" s="9">
        <v>46247</v>
      </c>
      <c r="I85" s="10">
        <v>29347.71</v>
      </c>
      <c r="J85" s="8" t="s">
        <v>13</v>
      </c>
      <c r="K85" s="8"/>
      <c r="L85" s="8">
        <f t="shared" ca="1" si="4"/>
        <v>60</v>
      </c>
      <c r="M85" s="8" t="str">
        <f t="shared" ca="1" si="5"/>
        <v>31-60 Days</v>
      </c>
    </row>
    <row r="86" spans="1:13" x14ac:dyDescent="0.3">
      <c r="A86" s="8" t="s">
        <v>256</v>
      </c>
      <c r="B86" s="8" t="s">
        <v>91</v>
      </c>
      <c r="C86" s="8" t="s">
        <v>92</v>
      </c>
      <c r="D86" s="8" t="s">
        <v>36</v>
      </c>
      <c r="E86" s="8" t="s">
        <v>257</v>
      </c>
      <c r="F86" s="8" t="s">
        <v>258</v>
      </c>
      <c r="G86" s="9">
        <v>46190</v>
      </c>
      <c r="H86" s="9">
        <v>46220</v>
      </c>
      <c r="I86" s="10">
        <v>115491.49</v>
      </c>
      <c r="J86" s="8" t="s">
        <v>13</v>
      </c>
      <c r="K86" s="8"/>
      <c r="L86" s="8">
        <f t="shared" ca="1" si="4"/>
        <v>87</v>
      </c>
      <c r="M86" s="8" t="str">
        <f t="shared" ca="1" si="5"/>
        <v>61-90 Days</v>
      </c>
    </row>
    <row r="87" spans="1:13" x14ac:dyDescent="0.3">
      <c r="A87" s="8" t="s">
        <v>259</v>
      </c>
      <c r="B87" s="8" t="s">
        <v>43</v>
      </c>
      <c r="C87" s="8" t="s">
        <v>44</v>
      </c>
      <c r="D87" s="8" t="s">
        <v>36</v>
      </c>
      <c r="E87" s="8" t="s">
        <v>260</v>
      </c>
      <c r="F87" s="8" t="s">
        <v>261</v>
      </c>
      <c r="G87" s="9">
        <v>46272</v>
      </c>
      <c r="H87" s="9">
        <v>46302</v>
      </c>
      <c r="I87" s="10">
        <v>38748.35</v>
      </c>
      <c r="J87" s="8" t="s">
        <v>15</v>
      </c>
      <c r="K87" s="8" t="s">
        <v>66</v>
      </c>
      <c r="L87" s="8">
        <f t="shared" ca="1" si="4"/>
        <v>5</v>
      </c>
      <c r="M87" s="8" t="str">
        <f t="shared" ca="1" si="5"/>
        <v>1-30 Days</v>
      </c>
    </row>
    <row r="88" spans="1:13" x14ac:dyDescent="0.3">
      <c r="A88" s="8" t="s">
        <v>262</v>
      </c>
      <c r="B88" s="8" t="s">
        <v>83</v>
      </c>
      <c r="C88" s="8" t="s">
        <v>84</v>
      </c>
      <c r="D88" s="8" t="s">
        <v>36</v>
      </c>
      <c r="E88" s="8" t="s">
        <v>263</v>
      </c>
      <c r="F88" s="8"/>
      <c r="G88" s="9">
        <v>46181</v>
      </c>
      <c r="H88" s="9">
        <v>46226</v>
      </c>
      <c r="I88" s="10">
        <v>23858.87</v>
      </c>
      <c r="J88" s="8" t="s">
        <v>15</v>
      </c>
      <c r="K88" s="8" t="s">
        <v>93</v>
      </c>
      <c r="L88" s="8">
        <f t="shared" ca="1" si="4"/>
        <v>81</v>
      </c>
      <c r="M88" s="8" t="str">
        <f t="shared" ca="1" si="5"/>
        <v>61-90 Days</v>
      </c>
    </row>
    <row r="89" spans="1:13" x14ac:dyDescent="0.3">
      <c r="A89" s="8" t="s">
        <v>264</v>
      </c>
      <c r="B89" s="8" t="s">
        <v>83</v>
      </c>
      <c r="C89" s="8" t="s">
        <v>84</v>
      </c>
      <c r="D89" s="8" t="s">
        <v>36</v>
      </c>
      <c r="E89" s="8" t="s">
        <v>265</v>
      </c>
      <c r="F89" s="8" t="s">
        <v>266</v>
      </c>
      <c r="G89" s="9">
        <v>46262</v>
      </c>
      <c r="H89" s="9">
        <v>46292</v>
      </c>
      <c r="I89" s="10">
        <v>90572.54</v>
      </c>
      <c r="J89" s="8" t="s">
        <v>13</v>
      </c>
      <c r="K89" s="8"/>
      <c r="L89" s="8">
        <f t="shared" ca="1" si="4"/>
        <v>15</v>
      </c>
      <c r="M89" s="8" t="str">
        <f t="shared" ca="1" si="5"/>
        <v>1-30 Days</v>
      </c>
    </row>
    <row r="90" spans="1:13" x14ac:dyDescent="0.3">
      <c r="A90" s="8" t="s">
        <v>267</v>
      </c>
      <c r="B90" s="8" t="s">
        <v>52</v>
      </c>
      <c r="C90" s="8" t="s">
        <v>53</v>
      </c>
      <c r="D90" s="8" t="s">
        <v>36</v>
      </c>
      <c r="E90" s="8" t="s">
        <v>268</v>
      </c>
      <c r="F90" s="8" t="s">
        <v>269</v>
      </c>
      <c r="G90" s="9">
        <v>46182</v>
      </c>
      <c r="H90" s="9">
        <v>46242</v>
      </c>
      <c r="I90" s="10">
        <v>28238.02</v>
      </c>
      <c r="J90" s="8" t="s">
        <v>17</v>
      </c>
      <c r="K90" s="8"/>
      <c r="L90" s="8">
        <f t="shared" ca="1" si="4"/>
        <v>0</v>
      </c>
      <c r="M90" s="8" t="str">
        <f t="shared" si="5"/>
        <v>Paid</v>
      </c>
    </row>
    <row r="91" spans="1:13" x14ac:dyDescent="0.3">
      <c r="A91" s="8" t="s">
        <v>270</v>
      </c>
      <c r="B91" s="8" t="s">
        <v>71</v>
      </c>
      <c r="C91" s="8" t="s">
        <v>72</v>
      </c>
      <c r="D91" s="8" t="s">
        <v>45</v>
      </c>
      <c r="E91" s="8"/>
      <c r="F91" s="8"/>
      <c r="G91" s="9">
        <v>46223</v>
      </c>
      <c r="H91" s="9">
        <v>46268</v>
      </c>
      <c r="I91" s="10">
        <v>12379.19</v>
      </c>
      <c r="J91" s="8" t="s">
        <v>17</v>
      </c>
      <c r="K91" s="8"/>
      <c r="L91" s="8">
        <f t="shared" ca="1" si="4"/>
        <v>0</v>
      </c>
      <c r="M91" s="8" t="str">
        <f t="shared" si="5"/>
        <v>Paid</v>
      </c>
    </row>
    <row r="92" spans="1:13" x14ac:dyDescent="0.3">
      <c r="A92" s="8" t="s">
        <v>271</v>
      </c>
      <c r="B92" s="8" t="s">
        <v>91</v>
      </c>
      <c r="C92" s="8" t="s">
        <v>92</v>
      </c>
      <c r="D92" s="8" t="s">
        <v>36</v>
      </c>
      <c r="E92" s="8" t="s">
        <v>272</v>
      </c>
      <c r="F92" s="8" t="s">
        <v>273</v>
      </c>
      <c r="G92" s="9">
        <v>46214</v>
      </c>
      <c r="H92" s="9">
        <v>46244</v>
      </c>
      <c r="I92" s="10">
        <v>19640.400000000001</v>
      </c>
      <c r="J92" s="8" t="s">
        <v>19</v>
      </c>
      <c r="K92" s="8" t="s">
        <v>119</v>
      </c>
      <c r="L92" s="8">
        <f t="shared" ca="1" si="4"/>
        <v>63</v>
      </c>
      <c r="M92" s="8" t="str">
        <f t="shared" ca="1" si="5"/>
        <v>61-90 Days</v>
      </c>
    </row>
    <row r="93" spans="1:13" x14ac:dyDescent="0.3">
      <c r="A93" s="8" t="s">
        <v>274</v>
      </c>
      <c r="B93" s="8" t="s">
        <v>43</v>
      </c>
      <c r="C93" s="8" t="s">
        <v>44</v>
      </c>
      <c r="D93" s="8" t="s">
        <v>45</v>
      </c>
      <c r="E93" s="8"/>
      <c r="F93" s="8"/>
      <c r="G93" s="9">
        <v>46202</v>
      </c>
      <c r="H93" s="9">
        <v>46217</v>
      </c>
      <c r="I93" s="10">
        <v>144227.41</v>
      </c>
      <c r="J93" s="8" t="s">
        <v>15</v>
      </c>
      <c r="K93" s="8" t="s">
        <v>130</v>
      </c>
      <c r="L93" s="8">
        <f t="shared" ca="1" si="4"/>
        <v>90</v>
      </c>
      <c r="M93" s="8" t="str">
        <f t="shared" ca="1" si="5"/>
        <v>61-90 Days</v>
      </c>
    </row>
    <row r="94" spans="1:13" x14ac:dyDescent="0.3">
      <c r="A94" s="8" t="s">
        <v>275</v>
      </c>
      <c r="B94" s="8" t="s">
        <v>47</v>
      </c>
      <c r="C94" s="8" t="s">
        <v>48</v>
      </c>
      <c r="D94" s="8" t="s">
        <v>36</v>
      </c>
      <c r="E94" s="8" t="s">
        <v>276</v>
      </c>
      <c r="F94" s="8" t="s">
        <v>277</v>
      </c>
      <c r="G94" s="9">
        <v>46180</v>
      </c>
      <c r="H94" s="9">
        <v>46225</v>
      </c>
      <c r="I94" s="10">
        <v>108705</v>
      </c>
      <c r="J94" s="8" t="s">
        <v>13</v>
      </c>
      <c r="K94" s="8"/>
      <c r="L94" s="8">
        <f t="shared" ca="1" si="4"/>
        <v>82</v>
      </c>
      <c r="M94" s="8" t="str">
        <f t="shared" ca="1" si="5"/>
        <v>61-90 Days</v>
      </c>
    </row>
    <row r="95" spans="1:13" x14ac:dyDescent="0.3">
      <c r="A95" s="8" t="s">
        <v>278</v>
      </c>
      <c r="B95" s="8" t="s">
        <v>43</v>
      </c>
      <c r="C95" s="8" t="s">
        <v>44</v>
      </c>
      <c r="D95" s="8" t="s">
        <v>36</v>
      </c>
      <c r="E95" s="8" t="s">
        <v>279</v>
      </c>
      <c r="F95" s="8" t="s">
        <v>280</v>
      </c>
      <c r="G95" s="9">
        <v>46195</v>
      </c>
      <c r="H95" s="9">
        <v>46210</v>
      </c>
      <c r="I95" s="10">
        <v>26502.52</v>
      </c>
      <c r="J95" s="8" t="s">
        <v>17</v>
      </c>
      <c r="K95" s="8"/>
      <c r="L95" s="8">
        <f t="shared" ca="1" si="4"/>
        <v>0</v>
      </c>
      <c r="M95" s="8" t="str">
        <f t="shared" si="5"/>
        <v>Paid</v>
      </c>
    </row>
    <row r="96" spans="1:13" x14ac:dyDescent="0.3">
      <c r="A96" s="8" t="s">
        <v>281</v>
      </c>
      <c r="B96" s="8" t="s">
        <v>57</v>
      </c>
      <c r="C96" s="8" t="s">
        <v>58</v>
      </c>
      <c r="D96" s="8" t="s">
        <v>45</v>
      </c>
      <c r="E96" s="8"/>
      <c r="F96" s="8"/>
      <c r="G96" s="9">
        <v>46183</v>
      </c>
      <c r="H96" s="9">
        <v>46243</v>
      </c>
      <c r="I96" s="10">
        <v>180290.93</v>
      </c>
      <c r="J96" s="8" t="s">
        <v>13</v>
      </c>
      <c r="K96" s="8"/>
      <c r="L96" s="8">
        <f t="shared" ca="1" si="4"/>
        <v>64</v>
      </c>
      <c r="M96" s="8" t="str">
        <f t="shared" ca="1" si="5"/>
        <v>61-90 Days</v>
      </c>
    </row>
    <row r="97" spans="1:13" x14ac:dyDescent="0.3">
      <c r="A97" s="8" t="s">
        <v>282</v>
      </c>
      <c r="B97" s="8" t="s">
        <v>47</v>
      </c>
      <c r="C97" s="8" t="s">
        <v>48</v>
      </c>
      <c r="D97" s="8" t="s">
        <v>36</v>
      </c>
      <c r="E97" s="8" t="s">
        <v>283</v>
      </c>
      <c r="F97" s="8" t="s">
        <v>284</v>
      </c>
      <c r="G97" s="9">
        <v>46261</v>
      </c>
      <c r="H97" s="9">
        <v>46291</v>
      </c>
      <c r="I97" s="10">
        <v>4336.92</v>
      </c>
      <c r="J97" s="8" t="s">
        <v>19</v>
      </c>
      <c r="K97" s="8" t="s">
        <v>123</v>
      </c>
      <c r="L97" s="8">
        <f t="shared" ca="1" si="4"/>
        <v>16</v>
      </c>
      <c r="M97" s="8" t="str">
        <f t="shared" ca="1" si="5"/>
        <v>1-30 Days</v>
      </c>
    </row>
    <row r="98" spans="1:13" x14ac:dyDescent="0.3">
      <c r="A98" s="8" t="s">
        <v>285</v>
      </c>
      <c r="B98" s="8" t="s">
        <v>83</v>
      </c>
      <c r="C98" s="8" t="s">
        <v>84</v>
      </c>
      <c r="D98" s="8" t="s">
        <v>45</v>
      </c>
      <c r="E98" s="8"/>
      <c r="F98" s="8"/>
      <c r="G98" s="9">
        <v>46179</v>
      </c>
      <c r="H98" s="9">
        <v>46209</v>
      </c>
      <c r="I98" s="10">
        <v>150643.10999999999</v>
      </c>
      <c r="J98" s="8" t="s">
        <v>15</v>
      </c>
      <c r="K98" s="8" t="s">
        <v>123</v>
      </c>
      <c r="L98" s="8">
        <f t="shared" ca="1" si="4"/>
        <v>98</v>
      </c>
      <c r="M98" s="8" t="str">
        <f t="shared" ref="M98:M129" ca="1" si="6">IF(J98="Paid","Paid",IF(L98=0,"Not Due",IF(L98&lt;=30,"1-30 Days",IF(L98&lt;=60,"31-60 Days",IF(L98&lt;=90,"61-90 Days","90+ Days")))))</f>
        <v>90+ Days</v>
      </c>
    </row>
    <row r="99" spans="1:13" x14ac:dyDescent="0.3">
      <c r="A99" s="8" t="s">
        <v>286</v>
      </c>
      <c r="B99" s="8" t="s">
        <v>125</v>
      </c>
      <c r="C99" s="8" t="s">
        <v>126</v>
      </c>
      <c r="D99" s="8" t="s">
        <v>36</v>
      </c>
      <c r="E99" s="8" t="s">
        <v>287</v>
      </c>
      <c r="F99" s="8" t="s">
        <v>288</v>
      </c>
      <c r="G99" s="9">
        <v>46297</v>
      </c>
      <c r="H99" s="9">
        <v>46342</v>
      </c>
      <c r="I99" s="10">
        <v>149460.46</v>
      </c>
      <c r="J99" s="8" t="s">
        <v>17</v>
      </c>
      <c r="K99" s="8"/>
      <c r="L99" s="8">
        <f t="shared" ca="1" si="4"/>
        <v>0</v>
      </c>
      <c r="M99" s="8" t="str">
        <f t="shared" si="6"/>
        <v>Paid</v>
      </c>
    </row>
    <row r="100" spans="1:13" x14ac:dyDescent="0.3">
      <c r="A100" s="8" t="s">
        <v>289</v>
      </c>
      <c r="B100" s="8" t="s">
        <v>52</v>
      </c>
      <c r="C100" s="8" t="s">
        <v>53</v>
      </c>
      <c r="D100" s="8" t="s">
        <v>45</v>
      </c>
      <c r="E100" s="8"/>
      <c r="F100" s="8"/>
      <c r="G100" s="9">
        <v>46170</v>
      </c>
      <c r="H100" s="9">
        <v>46215</v>
      </c>
      <c r="I100" s="10">
        <v>148856.79999999999</v>
      </c>
      <c r="J100" s="8" t="s">
        <v>13</v>
      </c>
      <c r="K100" s="8"/>
      <c r="L100" s="8">
        <f t="shared" ca="1" si="4"/>
        <v>92</v>
      </c>
      <c r="M100" s="8" t="str">
        <f t="shared" ca="1" si="6"/>
        <v>90+ Days</v>
      </c>
    </row>
    <row r="101" spans="1:13" x14ac:dyDescent="0.3">
      <c r="A101" s="8" t="s">
        <v>290</v>
      </c>
      <c r="B101" s="8" t="s">
        <v>57</v>
      </c>
      <c r="C101" s="8" t="s">
        <v>58</v>
      </c>
      <c r="D101" s="8" t="s">
        <v>36</v>
      </c>
      <c r="E101" s="8" t="s">
        <v>291</v>
      </c>
      <c r="F101" s="8" t="s">
        <v>292</v>
      </c>
      <c r="G101" s="9">
        <v>46195</v>
      </c>
      <c r="H101" s="9">
        <v>46210</v>
      </c>
      <c r="I101" s="10">
        <v>109720.15</v>
      </c>
      <c r="J101" s="8" t="s">
        <v>17</v>
      </c>
      <c r="K101" s="8"/>
      <c r="L101" s="8">
        <f t="shared" ca="1" si="4"/>
        <v>0</v>
      </c>
      <c r="M101" s="8" t="str">
        <f t="shared" si="6"/>
        <v>Paid</v>
      </c>
    </row>
  </sheetData>
  <conditionalFormatting sqref="J2:J101">
    <cfRule type="expression" dxfId="2" priority="1">
      <formula>J2="Blocked"</formula>
    </cfRule>
    <cfRule type="expression" dxfId="1" priority="2">
      <formula>J2="Paid"</formula>
    </cfRule>
  </conditionalFormatting>
  <conditionalFormatting sqref="L2:L101">
    <cfRule type="cellIs" dxfId="0" priority="3" operator="greaterThan">
      <formula>60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defaultRowHeight="14" x14ac:dyDescent="0.3"/>
  <cols>
    <col min="1" max="1" width="24" customWidth="1"/>
    <col min="2" max="2" width="110" customWidth="1"/>
  </cols>
  <sheetData>
    <row r="1" spans="1:2" ht="19.899999999999999" x14ac:dyDescent="0.45">
      <c r="A1" s="16" t="s">
        <v>293</v>
      </c>
      <c r="B1" s="14"/>
    </row>
    <row r="3" spans="1:2" ht="38.049999999999997" customHeight="1" x14ac:dyDescent="0.3">
      <c r="A3" s="11" t="s">
        <v>294</v>
      </c>
      <c r="B3" s="12" t="s">
        <v>295</v>
      </c>
    </row>
    <row r="4" spans="1:2" ht="38.049999999999997" customHeight="1" x14ac:dyDescent="0.3">
      <c r="A4" s="11" t="s">
        <v>296</v>
      </c>
      <c r="B4" s="12" t="s">
        <v>297</v>
      </c>
    </row>
    <row r="5" spans="1:2" ht="38.049999999999997" customHeight="1" x14ac:dyDescent="0.3">
      <c r="A5" s="11" t="s">
        <v>298</v>
      </c>
      <c r="B5" s="12" t="s">
        <v>299</v>
      </c>
    </row>
    <row r="6" spans="1:2" ht="38.049999999999997" customHeight="1" x14ac:dyDescent="0.3">
      <c r="A6" s="11" t="s">
        <v>300</v>
      </c>
      <c r="B6" s="12" t="s">
        <v>301</v>
      </c>
    </row>
    <row r="7" spans="1:2" ht="38.049999999999997" customHeight="1" x14ac:dyDescent="0.3">
      <c r="A7" s="11" t="s">
        <v>302</v>
      </c>
      <c r="B7" s="12" t="s">
        <v>303</v>
      </c>
    </row>
    <row r="8" spans="1:2" ht="38.049999999999997" customHeight="1" x14ac:dyDescent="0.3">
      <c r="A8" s="11" t="s">
        <v>304</v>
      </c>
      <c r="B8" s="12" t="s">
        <v>305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Invoice Tracker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 AP Invoice Tracking Dashboard</dc:title>
  <dc:subject>SAP Accounts Payable portfolio project using fictional data</dc:subject>
  <dc:creator>SAP AP P2P Portfolio</dc:creator>
  <cp:lastModifiedBy>chandrasekhar k</cp:lastModifiedBy>
  <dcterms:created xsi:type="dcterms:W3CDTF">2026-10-12T06:34:38Z</dcterms:created>
  <dcterms:modified xsi:type="dcterms:W3CDTF">2026-10-12T06:43:02Z</dcterms:modified>
</cp:coreProperties>
</file>