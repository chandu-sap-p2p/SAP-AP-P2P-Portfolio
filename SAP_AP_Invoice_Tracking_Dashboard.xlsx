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voice Tracker" sheetId="2" state="visible" r:id="rId2"/>
    <sheet xmlns:r="http://schemas.openxmlformats.org/officeDocument/2006/relationships" name="Read Me" sheetId="3" state="visible" r:id="rId3"/>
  </sheets>
  <definedNames>
    <definedName name="_xlnm._FilterDatabase" localSheetId="1" hidden="1">'Invoice Tracker'!$A$1:$M$101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₹#,##0.00"/>
    <numFmt numFmtId="167" formatCode="₹#,##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666666"/>
    </font>
    <font>
      <b val="1"/>
      <color rgb="0017365D"/>
      <sz val="15"/>
    </font>
    <font>
      <b val="1"/>
      <color rgb="0017365D"/>
    </font>
    <font>
      <b val="1"/>
      <color rgb="00FFFFFF"/>
      <sz val="15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0F6B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67" fontId="4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/>
    </xf>
    <xf numFmtId="0" fontId="5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Invoice Count by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'Dashboard'!$A$10:$A$13</f>
            </numRef>
          </cat>
          <val>
            <numRef>
              <f>'Dashboard'!$B$10:$B$13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Invoice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Outstanding Ageing Distribution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'Dashboard'!$E$10:$E$14</f>
            </numRef>
          </cat>
          <val>
            <numRef>
              <f>'Dashboard'!$F$10:$F$14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16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PInvoiceTable" displayName="APInvoiceTable" ref="A1:M101" headerRowCount="1">
  <autoFilter ref="A1:M101"/>
  <tableColumns count="13">
    <tableColumn id="1" name="Invoice ID"/>
    <tableColumn id="2" name="Vendor ID"/>
    <tableColumn id="3" name="Vendor Name"/>
    <tableColumn id="4" name="Invoice Type"/>
    <tableColumn id="5" name="PO Number"/>
    <tableColumn id="6" name="GR Document"/>
    <tableColumn id="7" name="Invoice Date"/>
    <tableColumn id="8" name="Due Date"/>
    <tableColumn id="9" name="Invoice Amount (INR)"/>
    <tableColumn id="10" name="Status"/>
    <tableColumn id="11" name="Exception / Block Reason"/>
    <tableColumn id="12" name="Days Past Due"/>
    <tableColumn id="13" name="Ageing Bucket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3" customWidth="1" min="3" max="3"/>
    <col width="4" customWidth="1" min="4" max="4"/>
    <col width="20" customWidth="1" min="5" max="5"/>
    <col width="14" customWidth="1" min="6" max="6"/>
    <col width="24" customWidth="1" min="7" max="7"/>
    <col width="4" customWidth="1" min="8" max="8"/>
  </cols>
  <sheetData>
    <row r="1" ht="32" customHeight="1">
      <c r="A1" s="1" t="inlineStr">
        <is>
          <t>SAP ACCOUNTS PAYABLE | INVOICE TRACKING DASHBOARD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Demonstration workbook • Fictional data only • Ageing is calculated using TODAY()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2" customHeight="1">
      <c r="A4" s="4" t="inlineStr">
        <is>
          <t>Total Invoices</t>
        </is>
      </c>
      <c r="B4" s="2" t="n"/>
      <c r="C4" s="4" t="inlineStr">
        <is>
          <t>Total Invoice Value</t>
        </is>
      </c>
      <c r="D4" s="2" t="n"/>
      <c r="E4" s="4" t="inlineStr">
        <is>
          <t>Open / Parked / Blocked</t>
        </is>
      </c>
      <c r="F4" s="2" t="n"/>
      <c r="G4" s="4" t="inlineStr">
        <is>
          <t>Blocked Invoices</t>
        </is>
      </c>
      <c r="H4" s="2" t="n"/>
    </row>
    <row r="5" ht="35" customHeight="1">
      <c r="A5" s="5">
        <f>COUNTA('Invoice Tracker'!A2:A101)</f>
        <v/>
      </c>
      <c r="B5" s="2" t="n"/>
      <c r="C5" s="6">
        <f>SUM('Invoice Tracker'!I2:I101)</f>
        <v/>
      </c>
      <c r="D5" s="2" t="n"/>
      <c r="E5" s="5">
        <f>COUNTIF('Invoice Tracker'!J2:J101,"Open")+COUNTIF('Invoice Tracker'!J2:J101,"Parked")+COUNTIF('Invoice Tracker'!J2:J101,"Blocked")</f>
        <v/>
      </c>
      <c r="F5" s="2" t="n"/>
      <c r="G5" s="5">
        <f>COUNTIF('Invoice Tracker'!J2:J101,"Blocked")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7" t="inlineStr">
        <is>
          <t>Invoice Status</t>
        </is>
      </c>
      <c r="B8" s="2" t="n"/>
      <c r="C8" s="2" t="n"/>
      <c r="D8" s="2" t="n"/>
      <c r="E8" s="7" t="inlineStr">
        <is>
          <t>Outstanding Ageing</t>
        </is>
      </c>
      <c r="F8" s="2" t="n"/>
      <c r="G8" s="2" t="n"/>
      <c r="H8" s="2" t="n"/>
    </row>
    <row r="9">
      <c r="A9" s="8" t="inlineStr">
        <is>
          <t>Status</t>
        </is>
      </c>
      <c r="B9" s="8" t="inlineStr">
        <is>
          <t>Count</t>
        </is>
      </c>
      <c r="C9" s="8" t="inlineStr">
        <is>
          <t>Invoice Value (INR)</t>
        </is>
      </c>
      <c r="D9" s="2" t="n"/>
      <c r="E9" s="8" t="inlineStr">
        <is>
          <t>Ageing Bucket</t>
        </is>
      </c>
      <c r="F9" s="8" t="inlineStr">
        <is>
          <t>Count</t>
        </is>
      </c>
      <c r="G9" s="8" t="inlineStr">
        <is>
          <t>Outstanding (INR)</t>
        </is>
      </c>
      <c r="H9" s="2" t="n"/>
    </row>
    <row r="10">
      <c r="A10" s="2" t="inlineStr">
        <is>
          <t>Open</t>
        </is>
      </c>
      <c r="B10" s="2">
        <f>COUNTIF('Invoice Tracker'!J$2:J$101,A10)</f>
        <v/>
      </c>
      <c r="C10" s="9">
        <f>SUMIF('Invoice Tracker'!J$2:J$101,A10,'Invoice Tracker'!I$2:I$101)</f>
        <v/>
      </c>
      <c r="D10" s="2" t="n"/>
      <c r="E10" s="2" t="inlineStr">
        <is>
          <t>Not Due</t>
        </is>
      </c>
      <c r="F10" s="2">
        <f>COUNTIF('Invoice Tracker'!M$2:M$101,E10)</f>
        <v/>
      </c>
      <c r="G10" s="9">
        <f>SUMIFS('Invoice Tracker'!I$2:I$101,'Invoice Tracker'!M$2:M$101,E10,'Invoice Tracker'!J$2:J$101,"&lt;&gt;Paid")</f>
        <v/>
      </c>
      <c r="H10" s="2" t="n"/>
    </row>
    <row r="11">
      <c r="A11" s="2" t="inlineStr">
        <is>
          <t>Blocked</t>
        </is>
      </c>
      <c r="B11" s="2">
        <f>COUNTIF('Invoice Tracker'!J$2:J$101,A11)</f>
        <v/>
      </c>
      <c r="C11" s="9">
        <f>SUMIF('Invoice Tracker'!J$2:J$101,A11,'Invoice Tracker'!I$2:I$101)</f>
        <v/>
      </c>
      <c r="D11" s="2" t="n"/>
      <c r="E11" s="2" t="inlineStr">
        <is>
          <t>1-30 Days</t>
        </is>
      </c>
      <c r="F11" s="2">
        <f>COUNTIF('Invoice Tracker'!M$2:M$101,E11)</f>
        <v/>
      </c>
      <c r="G11" s="9">
        <f>SUMIFS('Invoice Tracker'!I$2:I$101,'Invoice Tracker'!M$2:M$101,E11,'Invoice Tracker'!J$2:J$101,"&lt;&gt;Paid")</f>
        <v/>
      </c>
      <c r="H11" s="2" t="n"/>
    </row>
    <row r="12">
      <c r="A12" s="2" t="inlineStr">
        <is>
          <t>Paid</t>
        </is>
      </c>
      <c r="B12" s="2">
        <f>COUNTIF('Invoice Tracker'!J$2:J$101,A12)</f>
        <v/>
      </c>
      <c r="C12" s="9">
        <f>SUMIF('Invoice Tracker'!J$2:J$101,A12,'Invoice Tracker'!I$2:I$101)</f>
        <v/>
      </c>
      <c r="D12" s="2" t="n"/>
      <c r="E12" s="2" t="inlineStr">
        <is>
          <t>31-60 Days</t>
        </is>
      </c>
      <c r="F12" s="2">
        <f>COUNTIF('Invoice Tracker'!M$2:M$101,E12)</f>
        <v/>
      </c>
      <c r="G12" s="9">
        <f>SUMIFS('Invoice Tracker'!I$2:I$101,'Invoice Tracker'!M$2:M$101,E12,'Invoice Tracker'!J$2:J$101,"&lt;&gt;Paid")</f>
        <v/>
      </c>
      <c r="H12" s="2" t="n"/>
    </row>
    <row r="13">
      <c r="A13" s="2" t="inlineStr">
        <is>
          <t>Parked</t>
        </is>
      </c>
      <c r="B13" s="2">
        <f>COUNTIF('Invoice Tracker'!J$2:J$101,A13)</f>
        <v/>
      </c>
      <c r="C13" s="9">
        <f>SUMIF('Invoice Tracker'!J$2:J$101,A13,'Invoice Tracker'!I$2:I$101)</f>
        <v/>
      </c>
      <c r="D13" s="2" t="n"/>
      <c r="E13" s="2" t="inlineStr">
        <is>
          <t>61-90 Days</t>
        </is>
      </c>
      <c r="F13" s="2">
        <f>COUNTIF('Invoice Tracker'!M$2:M$101,E13)</f>
        <v/>
      </c>
      <c r="G13" s="9">
        <f>SUMIFS('Invoice Tracker'!I$2:I$101,'Invoice Tracker'!M$2:M$101,E13,'Invoice Tracker'!J$2:J$101,"&lt;&gt;Paid")</f>
        <v/>
      </c>
      <c r="H13" s="2" t="n"/>
    </row>
    <row r="14">
      <c r="A14" s="2" t="n"/>
      <c r="B14" s="2" t="n"/>
      <c r="C14" s="2" t="n"/>
      <c r="D14" s="2" t="n"/>
      <c r="E14" s="2" t="inlineStr">
        <is>
          <t>90+ Days</t>
        </is>
      </c>
      <c r="F14" s="2">
        <f>COUNTIF('Invoice Tracker'!M$2:M$101,E14)</f>
        <v/>
      </c>
      <c r="G14" s="9">
        <f>SUMIFS('Invoice Tracker'!I$2:I$101,'Invoice Tracker'!M$2:M$101,E14,'Invoice Tracker'!J$2:J$101,"&lt;&gt;Paid")</f>
        <v/>
      </c>
      <c r="H14" s="2" t="n"/>
    </row>
  </sheetData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26" customWidth="1" min="3" max="3"/>
    <col width="15" customWidth="1" min="4" max="4"/>
    <col width="17" customWidth="1" min="5" max="5"/>
    <col width="17" customWidth="1" min="6" max="6"/>
    <col width="16" customWidth="1" min="7" max="7"/>
    <col width="16" customWidth="1" min="8" max="8"/>
    <col width="22" customWidth="1" min="9" max="9"/>
    <col width="13" customWidth="1" min="10" max="10"/>
    <col width="28" customWidth="1" min="11" max="11"/>
    <col width="16" customWidth="1" min="12" max="12"/>
    <col width="18" customWidth="1" min="13" max="13"/>
  </cols>
  <sheetData>
    <row r="1" ht="34" customHeight="1">
      <c r="A1" s="10" t="inlineStr">
        <is>
          <t>Invoice ID</t>
        </is>
      </c>
      <c r="B1" s="10" t="inlineStr">
        <is>
          <t>Vendor ID</t>
        </is>
      </c>
      <c r="C1" s="10" t="inlineStr">
        <is>
          <t>Vendor Name</t>
        </is>
      </c>
      <c r="D1" s="10" t="inlineStr">
        <is>
          <t>Invoice Type</t>
        </is>
      </c>
      <c r="E1" s="10" t="inlineStr">
        <is>
          <t>PO Number</t>
        </is>
      </c>
      <c r="F1" s="10" t="inlineStr">
        <is>
          <t>GR Document</t>
        </is>
      </c>
      <c r="G1" s="10" t="inlineStr">
        <is>
          <t>Invoice Date</t>
        </is>
      </c>
      <c r="H1" s="10" t="inlineStr">
        <is>
          <t>Due Date</t>
        </is>
      </c>
      <c r="I1" s="10" t="inlineStr">
        <is>
          <t>Invoice Amount (INR)</t>
        </is>
      </c>
      <c r="J1" s="10" t="inlineStr">
        <is>
          <t>Status</t>
        </is>
      </c>
      <c r="K1" s="10" t="inlineStr">
        <is>
          <t>Exception / Block Reason</t>
        </is>
      </c>
      <c r="L1" s="10" t="inlineStr">
        <is>
          <t>Days Past Due</t>
        </is>
      </c>
      <c r="M1" s="10" t="inlineStr">
        <is>
          <t>Ageing Bucket</t>
        </is>
      </c>
    </row>
    <row r="2">
      <c r="A2" s="11" t="inlineStr">
        <is>
          <t>INV-2026-0001</t>
        </is>
      </c>
      <c r="B2" s="11" t="inlineStr">
        <is>
          <t>V1002</t>
        </is>
      </c>
      <c r="C2" s="11" t="inlineStr">
        <is>
          <t>BluePeak Services</t>
        </is>
      </c>
      <c r="D2" s="11" t="inlineStr">
        <is>
          <t>PO-Based</t>
        </is>
      </c>
      <c r="E2" s="11" t="inlineStr">
        <is>
          <t>4583197857</t>
        </is>
      </c>
      <c r="F2" s="11" t="inlineStr"/>
      <c r="G2" s="12" t="n">
        <v>46301</v>
      </c>
      <c r="H2" s="12" t="n">
        <v>46346</v>
      </c>
      <c r="I2" s="13" t="n">
        <v>21205.37</v>
      </c>
      <c r="J2" s="11" t="inlineStr">
        <is>
          <t>Open</t>
        </is>
      </c>
      <c r="K2" s="11" t="inlineStr"/>
      <c r="L2" s="14">
        <f>IF(OR(J2="Paid",H2&gt;=TODAY()),0,TODAY()-H2)</f>
        <v/>
      </c>
      <c r="M2" s="11">
        <f>IF(J2="Paid","Paid",IF(L2=0,"Not Due",IF(L2&lt;=30,"1-30 Days",IF(L2&lt;=60,"31-60 Days",IF(L2&lt;=90,"61-90 Days","90+ Days")))))</f>
        <v/>
      </c>
    </row>
    <row r="3">
      <c r="A3" s="11" t="inlineStr">
        <is>
          <t>INV-2026-0002</t>
        </is>
      </c>
      <c r="B3" s="11" t="inlineStr">
        <is>
          <t>V1007</t>
        </is>
      </c>
      <c r="C3" s="11" t="inlineStr">
        <is>
          <t>Granite Packaging</t>
        </is>
      </c>
      <c r="D3" s="11" t="inlineStr">
        <is>
          <t>PO-Based</t>
        </is>
      </c>
      <c r="E3" s="11" t="inlineStr">
        <is>
          <t>4585329037</t>
        </is>
      </c>
      <c r="F3" s="11" t="inlineStr">
        <is>
          <t>4997226012</t>
        </is>
      </c>
      <c r="G3" s="12" t="n">
        <v>46299</v>
      </c>
      <c r="H3" s="12" t="n">
        <v>46314</v>
      </c>
      <c r="I3" s="13" t="n">
        <v>112368.42</v>
      </c>
      <c r="J3" s="11" t="inlineStr">
        <is>
          <t>Open</t>
        </is>
      </c>
      <c r="K3" s="11" t="inlineStr"/>
      <c r="L3" s="14">
        <f>IF(OR(J3="Paid",H3&gt;=TODAY()),0,TODAY()-H3)</f>
        <v/>
      </c>
      <c r="M3" s="11">
        <f>IF(J3="Paid","Paid",IF(L3=0,"Not Due",IF(L3&lt;=30,"1-30 Days",IF(L3&lt;=60,"31-60 Days",IF(L3&lt;=90,"61-90 Days","90+ Days")))))</f>
        <v/>
      </c>
    </row>
    <row r="4">
      <c r="A4" s="11" t="inlineStr">
        <is>
          <t>INV-2026-0003</t>
        </is>
      </c>
      <c r="B4" s="11" t="inlineStr">
        <is>
          <t>V1009</t>
        </is>
      </c>
      <c r="C4" s="11" t="inlineStr">
        <is>
          <t>Indigo Consulting</t>
        </is>
      </c>
      <c r="D4" s="11" t="inlineStr">
        <is>
          <t>PO-Based</t>
        </is>
      </c>
      <c r="E4" s="11" t="inlineStr">
        <is>
          <t>4531429110</t>
        </is>
      </c>
      <c r="F4" s="11" t="inlineStr">
        <is>
          <t>4955667651</t>
        </is>
      </c>
      <c r="G4" s="12" t="n">
        <v>46200</v>
      </c>
      <c r="H4" s="12" t="n">
        <v>46230</v>
      </c>
      <c r="I4" s="13" t="n">
        <v>161147.31</v>
      </c>
      <c r="J4" s="11" t="inlineStr">
        <is>
          <t>Open</t>
        </is>
      </c>
      <c r="K4" s="11" t="inlineStr"/>
      <c r="L4" s="14">
        <f>IF(OR(J4="Paid",H4&gt;=TODAY()),0,TODAY()-H4)</f>
        <v/>
      </c>
      <c r="M4" s="11">
        <f>IF(J4="Paid","Paid",IF(L4=0,"Not Due",IF(L4&lt;=30,"1-30 Days",IF(L4&lt;=60,"31-60 Days",IF(L4&lt;=90,"61-90 Days","90+ Days")))))</f>
        <v/>
      </c>
    </row>
    <row r="5">
      <c r="A5" s="11" t="inlineStr">
        <is>
          <t>INV-2026-0004</t>
        </is>
      </c>
      <c r="B5" s="11" t="inlineStr">
        <is>
          <t>V1005</t>
        </is>
      </c>
      <c r="C5" s="11" t="inlineStr">
        <is>
          <t>Evergreen IT Services</t>
        </is>
      </c>
      <c r="D5" s="11" t="inlineStr">
        <is>
          <t>Non-PO</t>
        </is>
      </c>
      <c r="E5" s="11" t="inlineStr"/>
      <c r="F5" s="11" t="inlineStr"/>
      <c r="G5" s="12" t="n">
        <v>46268</v>
      </c>
      <c r="H5" s="12" t="n">
        <v>46298</v>
      </c>
      <c r="I5" s="13" t="n">
        <v>19426.12</v>
      </c>
      <c r="J5" s="11" t="inlineStr">
        <is>
          <t>Open</t>
        </is>
      </c>
      <c r="K5" s="11" t="inlineStr"/>
      <c r="L5" s="14">
        <f>IF(OR(J5="Paid",H5&gt;=TODAY()),0,TODAY()-H5)</f>
        <v/>
      </c>
      <c r="M5" s="11">
        <f>IF(J5="Paid","Paid",IF(L5=0,"Not Due",IF(L5&lt;=30,"1-30 Days",IF(L5&lt;=60,"31-60 Days",IF(L5&lt;=90,"61-90 Days","90+ Days")))))</f>
        <v/>
      </c>
    </row>
    <row r="6">
      <c r="A6" s="11" t="inlineStr">
        <is>
          <t>INV-2026-0005</t>
        </is>
      </c>
      <c r="B6" s="11" t="inlineStr">
        <is>
          <t>V1002</t>
        </is>
      </c>
      <c r="C6" s="11" t="inlineStr">
        <is>
          <t>BluePeak Services</t>
        </is>
      </c>
      <c r="D6" s="11" t="inlineStr">
        <is>
          <t>PO-Based</t>
        </is>
      </c>
      <c r="E6" s="11" t="inlineStr">
        <is>
          <t>4581971316</t>
        </is>
      </c>
      <c r="F6" s="11" t="inlineStr"/>
      <c r="G6" s="12" t="n">
        <v>46216</v>
      </c>
      <c r="H6" s="12" t="n">
        <v>46261</v>
      </c>
      <c r="I6" s="13" t="n">
        <v>135676.05</v>
      </c>
      <c r="J6" s="11" t="inlineStr">
        <is>
          <t>Paid</t>
        </is>
      </c>
      <c r="K6" s="11" t="inlineStr"/>
      <c r="L6" s="14">
        <f>IF(OR(J6="Paid",H6&gt;=TODAY()),0,TODAY()-H6)</f>
        <v/>
      </c>
      <c r="M6" s="11">
        <f>IF(J6="Paid","Paid",IF(L6=0,"Not Due",IF(L6&lt;=30,"1-30 Days",IF(L6&lt;=60,"31-60 Days",IF(L6&lt;=90,"61-90 Days","90+ Days")))))</f>
        <v/>
      </c>
    </row>
    <row r="7">
      <c r="A7" s="11" t="inlineStr">
        <is>
          <t>INV-2026-0006</t>
        </is>
      </c>
      <c r="B7" s="11" t="inlineStr">
        <is>
          <t>V1007</t>
        </is>
      </c>
      <c r="C7" s="11" t="inlineStr">
        <is>
          <t>Granite Packaging</t>
        </is>
      </c>
      <c r="D7" s="11" t="inlineStr">
        <is>
          <t>Non-PO</t>
        </is>
      </c>
      <c r="E7" s="11" t="inlineStr"/>
      <c r="F7" s="11" t="inlineStr"/>
      <c r="G7" s="12" t="n">
        <v>46287</v>
      </c>
      <c r="H7" s="12" t="n">
        <v>46332</v>
      </c>
      <c r="I7" s="13" t="n">
        <v>159761.51</v>
      </c>
      <c r="J7" s="11" t="inlineStr">
        <is>
          <t>Blocked</t>
        </is>
      </c>
      <c r="K7" s="11" t="inlineStr">
        <is>
          <t>Missing documentation</t>
        </is>
      </c>
      <c r="L7" s="14">
        <f>IF(OR(J7="Paid",H7&gt;=TODAY()),0,TODAY()-H7)</f>
        <v/>
      </c>
      <c r="M7" s="11">
        <f>IF(J7="Paid","Paid",IF(L7=0,"Not Due",IF(L7&lt;=30,"1-30 Days",IF(L7&lt;=60,"31-60 Days",IF(L7&lt;=90,"61-90 Days","90+ Days")))))</f>
        <v/>
      </c>
    </row>
    <row r="8">
      <c r="A8" s="11" t="inlineStr">
        <is>
          <t>INV-2026-0007</t>
        </is>
      </c>
      <c r="B8" s="11" t="inlineStr">
        <is>
          <t>V1004</t>
        </is>
      </c>
      <c r="C8" s="11" t="inlineStr">
        <is>
          <t>Delta Facilities</t>
        </is>
      </c>
      <c r="D8" s="11" t="inlineStr">
        <is>
          <t>PO-Based</t>
        </is>
      </c>
      <c r="E8" s="11" t="inlineStr">
        <is>
          <t>4541244663</t>
        </is>
      </c>
      <c r="F8" s="11" t="inlineStr">
        <is>
          <t>4961019678</t>
        </is>
      </c>
      <c r="G8" s="12" t="n">
        <v>46290</v>
      </c>
      <c r="H8" s="12" t="n">
        <v>46305</v>
      </c>
      <c r="I8" s="13" t="n">
        <v>182302.93</v>
      </c>
      <c r="J8" s="11" t="inlineStr">
        <is>
          <t>Paid</t>
        </is>
      </c>
      <c r="K8" s="11" t="inlineStr"/>
      <c r="L8" s="14">
        <f>IF(OR(J8="Paid",H8&gt;=TODAY()),0,TODAY()-H8)</f>
        <v/>
      </c>
      <c r="M8" s="11">
        <f>IF(J8="Paid","Paid",IF(L8=0,"Not Due",IF(L8&lt;=30,"1-30 Days",IF(L8&lt;=60,"31-60 Days",IF(L8&lt;=90,"61-90 Days","90+ Days")))))</f>
        <v/>
      </c>
    </row>
    <row r="9">
      <c r="A9" s="11" t="inlineStr">
        <is>
          <t>INV-2026-0008</t>
        </is>
      </c>
      <c r="B9" s="11" t="inlineStr">
        <is>
          <t>V1005</t>
        </is>
      </c>
      <c r="C9" s="11" t="inlineStr">
        <is>
          <t>Evergreen IT Services</t>
        </is>
      </c>
      <c r="D9" s="11" t="inlineStr">
        <is>
          <t>PO-Based</t>
        </is>
      </c>
      <c r="E9" s="11" t="inlineStr">
        <is>
          <t>4596977837</t>
        </is>
      </c>
      <c r="F9" s="11" t="inlineStr"/>
      <c r="G9" s="12" t="n">
        <v>46191</v>
      </c>
      <c r="H9" s="12" t="n">
        <v>46236</v>
      </c>
      <c r="I9" s="13" t="n">
        <v>124806.97</v>
      </c>
      <c r="J9" s="11" t="inlineStr">
        <is>
          <t>Open</t>
        </is>
      </c>
      <c r="K9" s="11" t="inlineStr"/>
      <c r="L9" s="14">
        <f>IF(OR(J9="Paid",H9&gt;=TODAY()),0,TODAY()-H9)</f>
        <v/>
      </c>
      <c r="M9" s="11">
        <f>IF(J9="Paid","Paid",IF(L9=0,"Not Due",IF(L9&lt;=30,"1-30 Days",IF(L9&lt;=60,"31-60 Days",IF(L9&lt;=90,"61-90 Days","90+ Days")))))</f>
        <v/>
      </c>
    </row>
    <row r="10">
      <c r="A10" s="11" t="inlineStr">
        <is>
          <t>INV-2026-0009</t>
        </is>
      </c>
      <c r="B10" s="11" t="inlineStr">
        <is>
          <t>V1003</t>
        </is>
      </c>
      <c r="C10" s="11" t="inlineStr">
        <is>
          <t>Cedar Industrial</t>
        </is>
      </c>
      <c r="D10" s="11" t="inlineStr">
        <is>
          <t>PO-Based</t>
        </is>
      </c>
      <c r="E10" s="11" t="inlineStr">
        <is>
          <t>4595899313</t>
        </is>
      </c>
      <c r="F10" s="11" t="inlineStr">
        <is>
          <t>4939476249</t>
        </is>
      </c>
      <c r="G10" s="12" t="n">
        <v>46171</v>
      </c>
      <c r="H10" s="12" t="n">
        <v>46201</v>
      </c>
      <c r="I10" s="13" t="n">
        <v>183088.01</v>
      </c>
      <c r="J10" s="11" t="inlineStr">
        <is>
          <t>Open</t>
        </is>
      </c>
      <c r="K10" s="11" t="inlineStr"/>
      <c r="L10" s="14">
        <f>IF(OR(J10="Paid",H10&gt;=TODAY()),0,TODAY()-H10)</f>
        <v/>
      </c>
      <c r="M10" s="11">
        <f>IF(J10="Paid","Paid",IF(L10=0,"Not Due",IF(L10&lt;=30,"1-30 Days",IF(L10&lt;=60,"31-60 Days",IF(L10&lt;=90,"61-90 Days","90+ Days")))))</f>
        <v/>
      </c>
    </row>
    <row r="11">
      <c r="A11" s="11" t="inlineStr">
        <is>
          <t>INV-2026-0010</t>
        </is>
      </c>
      <c r="B11" s="11" t="inlineStr">
        <is>
          <t>V1006</t>
        </is>
      </c>
      <c r="C11" s="11" t="inlineStr">
        <is>
          <t>Fairview Logistics</t>
        </is>
      </c>
      <c r="D11" s="11" t="inlineStr">
        <is>
          <t>Non-PO</t>
        </is>
      </c>
      <c r="E11" s="11" t="inlineStr"/>
      <c r="F11" s="11" t="inlineStr"/>
      <c r="G11" s="12" t="n">
        <v>46293</v>
      </c>
      <c r="H11" s="12" t="n">
        <v>46323</v>
      </c>
      <c r="I11" s="13" t="n">
        <v>75712.57000000001</v>
      </c>
      <c r="J11" s="11" t="inlineStr">
        <is>
          <t>Paid</t>
        </is>
      </c>
      <c r="K11" s="11" t="inlineStr"/>
      <c r="L11" s="14">
        <f>IF(OR(J11="Paid",H11&gt;=TODAY()),0,TODAY()-H11)</f>
        <v/>
      </c>
      <c r="M11" s="11">
        <f>IF(J11="Paid","Paid",IF(L11=0,"Not Due",IF(L11&lt;=30,"1-30 Days",IF(L11&lt;=60,"31-60 Days",IF(L11&lt;=90,"61-90 Days","90+ Days")))))</f>
        <v/>
      </c>
    </row>
    <row r="12">
      <c r="A12" s="11" t="inlineStr">
        <is>
          <t>INV-2026-0011</t>
        </is>
      </c>
      <c r="B12" s="11" t="inlineStr">
        <is>
          <t>V1002</t>
        </is>
      </c>
      <c r="C12" s="11" t="inlineStr">
        <is>
          <t>BluePeak Services</t>
        </is>
      </c>
      <c r="D12" s="11" t="inlineStr">
        <is>
          <t>PO-Based</t>
        </is>
      </c>
      <c r="E12" s="11" t="inlineStr">
        <is>
          <t>4596282117</t>
        </is>
      </c>
      <c r="F12" s="11" t="inlineStr">
        <is>
          <t>4945551614</t>
        </is>
      </c>
      <c r="G12" s="12" t="n">
        <v>46253</v>
      </c>
      <c r="H12" s="12" t="n">
        <v>46298</v>
      </c>
      <c r="I12" s="13" t="n">
        <v>163954.68</v>
      </c>
      <c r="J12" s="11" t="inlineStr">
        <is>
          <t>Blocked</t>
        </is>
      </c>
      <c r="K12" s="11" t="inlineStr">
        <is>
          <t>Missing GR</t>
        </is>
      </c>
      <c r="L12" s="14">
        <f>IF(OR(J12="Paid",H12&gt;=TODAY()),0,TODAY()-H12)</f>
        <v/>
      </c>
      <c r="M12" s="11">
        <f>IF(J12="Paid","Paid",IF(L12=0,"Not Due",IF(L12&lt;=30,"1-30 Days",IF(L12&lt;=60,"31-60 Days",IF(L12&lt;=90,"61-90 Days","90+ Days")))))</f>
        <v/>
      </c>
    </row>
    <row r="13">
      <c r="A13" s="11" t="inlineStr">
        <is>
          <t>INV-2026-0012</t>
        </is>
      </c>
      <c r="B13" s="11" t="inlineStr">
        <is>
          <t>V1004</t>
        </is>
      </c>
      <c r="C13" s="11" t="inlineStr">
        <is>
          <t>Delta Facilities</t>
        </is>
      </c>
      <c r="D13" s="11" t="inlineStr">
        <is>
          <t>Non-PO</t>
        </is>
      </c>
      <c r="E13" s="11" t="inlineStr"/>
      <c r="F13" s="11" t="inlineStr"/>
      <c r="G13" s="12" t="n">
        <v>46164</v>
      </c>
      <c r="H13" s="12" t="n">
        <v>46209</v>
      </c>
      <c r="I13" s="13" t="n">
        <v>108994.76</v>
      </c>
      <c r="J13" s="11" t="inlineStr">
        <is>
          <t>Open</t>
        </is>
      </c>
      <c r="K13" s="11" t="inlineStr"/>
      <c r="L13" s="14">
        <f>IF(OR(J13="Paid",H13&gt;=TODAY()),0,TODAY()-H13)</f>
        <v/>
      </c>
      <c r="M13" s="11">
        <f>IF(J13="Paid","Paid",IF(L13=0,"Not Due",IF(L13&lt;=30,"1-30 Days",IF(L13&lt;=60,"31-60 Days",IF(L13&lt;=90,"61-90 Days","90+ Days")))))</f>
        <v/>
      </c>
    </row>
    <row r="14">
      <c r="A14" s="11" t="inlineStr">
        <is>
          <t>INV-2026-0013</t>
        </is>
      </c>
      <c r="B14" s="11" t="inlineStr">
        <is>
          <t>V1006</t>
        </is>
      </c>
      <c r="C14" s="11" t="inlineStr">
        <is>
          <t>Fairview Logistics</t>
        </is>
      </c>
      <c r="D14" s="11" t="inlineStr">
        <is>
          <t>PO-Based</t>
        </is>
      </c>
      <c r="E14" s="11" t="inlineStr">
        <is>
          <t>4524716857</t>
        </is>
      </c>
      <c r="F14" s="11" t="inlineStr">
        <is>
          <t>4931472420</t>
        </is>
      </c>
      <c r="G14" s="12" t="n">
        <v>46251</v>
      </c>
      <c r="H14" s="12" t="n">
        <v>46281</v>
      </c>
      <c r="I14" s="13" t="n">
        <v>11098.74</v>
      </c>
      <c r="J14" s="11" t="inlineStr">
        <is>
          <t>Open</t>
        </is>
      </c>
      <c r="K14" s="11" t="inlineStr"/>
      <c r="L14" s="14">
        <f>IF(OR(J14="Paid",H14&gt;=TODAY()),0,TODAY()-H14)</f>
        <v/>
      </c>
      <c r="M14" s="11">
        <f>IF(J14="Paid","Paid",IF(L14=0,"Not Due",IF(L14&lt;=30,"1-30 Days",IF(L14&lt;=60,"31-60 Days",IF(L14&lt;=90,"61-90 Days","90+ Days")))))</f>
        <v/>
      </c>
    </row>
    <row r="15">
      <c r="A15" s="11" t="inlineStr">
        <is>
          <t>INV-2026-0014</t>
        </is>
      </c>
      <c r="B15" s="11" t="inlineStr">
        <is>
          <t>V1007</t>
        </is>
      </c>
      <c r="C15" s="11" t="inlineStr">
        <is>
          <t>Granite Packaging</t>
        </is>
      </c>
      <c r="D15" s="11" t="inlineStr">
        <is>
          <t>PO-Based</t>
        </is>
      </c>
      <c r="E15" s="11" t="inlineStr">
        <is>
          <t>4584252722</t>
        </is>
      </c>
      <c r="F15" s="11" t="inlineStr">
        <is>
          <t>4911540956</t>
        </is>
      </c>
      <c r="G15" s="12" t="n">
        <v>46291</v>
      </c>
      <c r="H15" s="12" t="n">
        <v>46351</v>
      </c>
      <c r="I15" s="13" t="n">
        <v>99063.37</v>
      </c>
      <c r="J15" s="11" t="inlineStr">
        <is>
          <t>Parked</t>
        </is>
      </c>
      <c r="K15" s="11" t="inlineStr">
        <is>
          <t>Quantity variance</t>
        </is>
      </c>
      <c r="L15" s="14">
        <f>IF(OR(J15="Paid",H15&gt;=TODAY()),0,TODAY()-H15)</f>
        <v/>
      </c>
      <c r="M15" s="11">
        <f>IF(J15="Paid","Paid",IF(L15=0,"Not Due",IF(L15&lt;=30,"1-30 Days",IF(L15&lt;=60,"31-60 Days",IF(L15&lt;=90,"61-90 Days","90+ Days")))))</f>
        <v/>
      </c>
    </row>
    <row r="16">
      <c r="A16" s="11" t="inlineStr">
        <is>
          <t>INV-2026-0015</t>
        </is>
      </c>
      <c r="B16" s="11" t="inlineStr">
        <is>
          <t>V1002</t>
        </is>
      </c>
      <c r="C16" s="11" t="inlineStr">
        <is>
          <t>BluePeak Services</t>
        </is>
      </c>
      <c r="D16" s="11" t="inlineStr">
        <is>
          <t>Non-PO</t>
        </is>
      </c>
      <c r="E16" s="11" t="inlineStr"/>
      <c r="F16" s="11" t="inlineStr"/>
      <c r="G16" s="12" t="n">
        <v>46170</v>
      </c>
      <c r="H16" s="12" t="n">
        <v>46215</v>
      </c>
      <c r="I16" s="13" t="n">
        <v>56063.77</v>
      </c>
      <c r="J16" s="11" t="inlineStr">
        <is>
          <t>Open</t>
        </is>
      </c>
      <c r="K16" s="11" t="inlineStr"/>
      <c r="L16" s="14">
        <f>IF(OR(J16="Paid",H16&gt;=TODAY()),0,TODAY()-H16)</f>
        <v/>
      </c>
      <c r="M16" s="11">
        <f>IF(J16="Paid","Paid",IF(L16=0,"Not Due",IF(L16&lt;=30,"1-30 Days",IF(L16&lt;=60,"31-60 Days",IF(L16&lt;=90,"61-90 Days","90+ Days")))))</f>
        <v/>
      </c>
    </row>
    <row r="17">
      <c r="A17" s="11" t="inlineStr">
        <is>
          <t>INV-2026-0016</t>
        </is>
      </c>
      <c r="B17" s="11" t="inlineStr">
        <is>
          <t>V1003</t>
        </is>
      </c>
      <c r="C17" s="11" t="inlineStr">
        <is>
          <t>Cedar Industrial</t>
        </is>
      </c>
      <c r="D17" s="11" t="inlineStr">
        <is>
          <t>Non-PO</t>
        </is>
      </c>
      <c r="E17" s="11" t="inlineStr"/>
      <c r="F17" s="11" t="inlineStr"/>
      <c r="G17" s="12" t="n">
        <v>46191</v>
      </c>
      <c r="H17" s="12" t="n">
        <v>46206</v>
      </c>
      <c r="I17" s="13" t="n">
        <v>50568.5</v>
      </c>
      <c r="J17" s="11" t="inlineStr">
        <is>
          <t>Paid</t>
        </is>
      </c>
      <c r="K17" s="11" t="inlineStr"/>
      <c r="L17" s="14">
        <f>IF(OR(J17="Paid",H17&gt;=TODAY()),0,TODAY()-H17)</f>
        <v/>
      </c>
      <c r="M17" s="11">
        <f>IF(J17="Paid","Paid",IF(L17=0,"Not Due",IF(L17&lt;=30,"1-30 Days",IF(L17&lt;=60,"31-60 Days",IF(L17&lt;=90,"61-90 Days","90+ Days")))))</f>
        <v/>
      </c>
    </row>
    <row r="18">
      <c r="A18" s="11" t="inlineStr">
        <is>
          <t>INV-2026-0017</t>
        </is>
      </c>
      <c r="B18" s="11" t="inlineStr">
        <is>
          <t>V1009</t>
        </is>
      </c>
      <c r="C18" s="11" t="inlineStr">
        <is>
          <t>Indigo Consulting</t>
        </is>
      </c>
      <c r="D18" s="11" t="inlineStr">
        <is>
          <t>Non-PO</t>
        </is>
      </c>
      <c r="E18" s="11" t="inlineStr"/>
      <c r="F18" s="11" t="inlineStr"/>
      <c r="G18" s="12" t="n">
        <v>46262</v>
      </c>
      <c r="H18" s="12" t="n">
        <v>46277</v>
      </c>
      <c r="I18" s="13" t="n">
        <v>119108.28</v>
      </c>
      <c r="J18" s="11" t="inlineStr">
        <is>
          <t>Open</t>
        </is>
      </c>
      <c r="K18" s="11" t="inlineStr"/>
      <c r="L18" s="14">
        <f>IF(OR(J18="Paid",H18&gt;=TODAY()),0,TODAY()-H18)</f>
        <v/>
      </c>
      <c r="M18" s="11">
        <f>IF(J18="Paid","Paid",IF(L18=0,"Not Due",IF(L18&lt;=30,"1-30 Days",IF(L18&lt;=60,"31-60 Days",IF(L18&lt;=90,"61-90 Days","90+ Days")))))</f>
        <v/>
      </c>
    </row>
    <row r="19">
      <c r="A19" s="11" t="inlineStr">
        <is>
          <t>INV-2026-0018</t>
        </is>
      </c>
      <c r="B19" s="11" t="inlineStr">
        <is>
          <t>V1010</t>
        </is>
      </c>
      <c r="C19" s="11" t="inlineStr">
        <is>
          <t>Juniper Components</t>
        </is>
      </c>
      <c r="D19" s="11" t="inlineStr">
        <is>
          <t>PO-Based</t>
        </is>
      </c>
      <c r="E19" s="11" t="inlineStr">
        <is>
          <t>4581182864</t>
        </is>
      </c>
      <c r="F19" s="11" t="inlineStr">
        <is>
          <t>4990388981</t>
        </is>
      </c>
      <c r="G19" s="12" t="n">
        <v>46257</v>
      </c>
      <c r="H19" s="12" t="n">
        <v>46287</v>
      </c>
      <c r="I19" s="13" t="n">
        <v>176513.7</v>
      </c>
      <c r="J19" s="11" t="inlineStr">
        <is>
          <t>Open</t>
        </is>
      </c>
      <c r="K19" s="11" t="inlineStr"/>
      <c r="L19" s="14">
        <f>IF(OR(J19="Paid",H19&gt;=TODAY()),0,TODAY()-H19)</f>
        <v/>
      </c>
      <c r="M19" s="11">
        <f>IF(J19="Paid","Paid",IF(L19=0,"Not Due",IF(L19&lt;=30,"1-30 Days",IF(L19&lt;=60,"31-60 Days",IF(L19&lt;=90,"61-90 Days","90+ Days")))))</f>
        <v/>
      </c>
    </row>
    <row r="20">
      <c r="A20" s="11" t="inlineStr">
        <is>
          <t>INV-2026-0019</t>
        </is>
      </c>
      <c r="B20" s="11" t="inlineStr">
        <is>
          <t>V1006</t>
        </is>
      </c>
      <c r="C20" s="11" t="inlineStr">
        <is>
          <t>Fairview Logistics</t>
        </is>
      </c>
      <c r="D20" s="11" t="inlineStr">
        <is>
          <t>PO-Based</t>
        </is>
      </c>
      <c r="E20" s="11" t="inlineStr">
        <is>
          <t>4551273847</t>
        </is>
      </c>
      <c r="F20" s="11" t="inlineStr">
        <is>
          <t>4942329237</t>
        </is>
      </c>
      <c r="G20" s="12" t="n">
        <v>46182</v>
      </c>
      <c r="H20" s="12" t="n">
        <v>46197</v>
      </c>
      <c r="I20" s="13" t="n">
        <v>182321.15</v>
      </c>
      <c r="J20" s="11" t="inlineStr">
        <is>
          <t>Open</t>
        </is>
      </c>
      <c r="K20" s="11" t="inlineStr"/>
      <c r="L20" s="14">
        <f>IF(OR(J20="Paid",H20&gt;=TODAY()),0,TODAY()-H20)</f>
        <v/>
      </c>
      <c r="M20" s="11">
        <f>IF(J20="Paid","Paid",IF(L20=0,"Not Due",IF(L20&lt;=30,"1-30 Days",IF(L20&lt;=60,"31-60 Days",IF(L20&lt;=90,"61-90 Days","90+ Days")))))</f>
        <v/>
      </c>
    </row>
    <row r="21">
      <c r="A21" s="11" t="inlineStr">
        <is>
          <t>INV-2026-0020</t>
        </is>
      </c>
      <c r="B21" s="11" t="inlineStr">
        <is>
          <t>V1010</t>
        </is>
      </c>
      <c r="C21" s="11" t="inlineStr">
        <is>
          <t>Juniper Components</t>
        </is>
      </c>
      <c r="D21" s="11" t="inlineStr">
        <is>
          <t>Non-PO</t>
        </is>
      </c>
      <c r="E21" s="11" t="inlineStr"/>
      <c r="F21" s="11" t="inlineStr"/>
      <c r="G21" s="12" t="n">
        <v>46287</v>
      </c>
      <c r="H21" s="12" t="n">
        <v>46302</v>
      </c>
      <c r="I21" s="13" t="n">
        <v>180982.17</v>
      </c>
      <c r="J21" s="11" t="inlineStr">
        <is>
          <t>Paid</t>
        </is>
      </c>
      <c r="K21" s="11" t="inlineStr"/>
      <c r="L21" s="14">
        <f>IF(OR(J21="Paid",H21&gt;=TODAY()),0,TODAY()-H21)</f>
        <v/>
      </c>
      <c r="M21" s="11">
        <f>IF(J21="Paid","Paid",IF(L21=0,"Not Due",IF(L21&lt;=30,"1-30 Days",IF(L21&lt;=60,"31-60 Days",IF(L21&lt;=90,"61-90 Days","90+ Days")))))</f>
        <v/>
      </c>
    </row>
    <row r="22">
      <c r="A22" s="11" t="inlineStr">
        <is>
          <t>INV-2026-0021</t>
        </is>
      </c>
      <c r="B22" s="11" t="inlineStr">
        <is>
          <t>V1009</t>
        </is>
      </c>
      <c r="C22" s="11" t="inlineStr">
        <is>
          <t>Indigo Consulting</t>
        </is>
      </c>
      <c r="D22" s="11" t="inlineStr">
        <is>
          <t>PO-Based</t>
        </is>
      </c>
      <c r="E22" s="11" t="inlineStr">
        <is>
          <t>4580823176</t>
        </is>
      </c>
      <c r="F22" s="11" t="inlineStr">
        <is>
          <t>4966792612</t>
        </is>
      </c>
      <c r="G22" s="12" t="n">
        <v>46275</v>
      </c>
      <c r="H22" s="12" t="n">
        <v>46305</v>
      </c>
      <c r="I22" s="13" t="n">
        <v>32635.67</v>
      </c>
      <c r="J22" s="11" t="inlineStr">
        <is>
          <t>Parked</t>
        </is>
      </c>
      <c r="K22" s="11" t="inlineStr">
        <is>
          <t>Missing GR</t>
        </is>
      </c>
      <c r="L22" s="14">
        <f>IF(OR(J22="Paid",H22&gt;=TODAY()),0,TODAY()-H22)</f>
        <v/>
      </c>
      <c r="M22" s="11">
        <f>IF(J22="Paid","Paid",IF(L22=0,"Not Due",IF(L22&lt;=30,"1-30 Days",IF(L22&lt;=60,"31-60 Days",IF(L22&lt;=90,"61-90 Days","90+ Days")))))</f>
        <v/>
      </c>
    </row>
    <row r="23">
      <c r="A23" s="11" t="inlineStr">
        <is>
          <t>INV-2026-0022</t>
        </is>
      </c>
      <c r="B23" s="11" t="inlineStr">
        <is>
          <t>V1009</t>
        </is>
      </c>
      <c r="C23" s="11" t="inlineStr">
        <is>
          <t>Indigo Consulting</t>
        </is>
      </c>
      <c r="D23" s="11" t="inlineStr">
        <is>
          <t>PO-Based</t>
        </is>
      </c>
      <c r="E23" s="11" t="inlineStr">
        <is>
          <t>4579467853</t>
        </is>
      </c>
      <c r="F23" s="11" t="inlineStr">
        <is>
          <t>4943273328</t>
        </is>
      </c>
      <c r="G23" s="12" t="n">
        <v>46256</v>
      </c>
      <c r="H23" s="12" t="n">
        <v>46301</v>
      </c>
      <c r="I23" s="13" t="n">
        <v>70649.24000000001</v>
      </c>
      <c r="J23" s="11" t="inlineStr">
        <is>
          <t>Paid</t>
        </is>
      </c>
      <c r="K23" s="11" t="inlineStr"/>
      <c r="L23" s="14">
        <f>IF(OR(J23="Paid",H23&gt;=TODAY()),0,TODAY()-H23)</f>
        <v/>
      </c>
      <c r="M23" s="11">
        <f>IF(J23="Paid","Paid",IF(L23=0,"Not Due",IF(L23&lt;=30,"1-30 Days",IF(L23&lt;=60,"31-60 Days",IF(L23&lt;=90,"61-90 Days","90+ Days")))))</f>
        <v/>
      </c>
    </row>
    <row r="24">
      <c r="A24" s="11" t="inlineStr">
        <is>
          <t>INV-2026-0023</t>
        </is>
      </c>
      <c r="B24" s="11" t="inlineStr">
        <is>
          <t>V1004</t>
        </is>
      </c>
      <c r="C24" s="11" t="inlineStr">
        <is>
          <t>Delta Facilities</t>
        </is>
      </c>
      <c r="D24" s="11" t="inlineStr">
        <is>
          <t>PO-Based</t>
        </is>
      </c>
      <c r="E24" s="11" t="inlineStr">
        <is>
          <t>4510965138</t>
        </is>
      </c>
      <c r="F24" s="11" t="inlineStr"/>
      <c r="G24" s="12" t="n">
        <v>46291</v>
      </c>
      <c r="H24" s="12" t="n">
        <v>46336</v>
      </c>
      <c r="I24" s="13" t="n">
        <v>109890.32</v>
      </c>
      <c r="J24" s="11" t="inlineStr">
        <is>
          <t>Blocked</t>
        </is>
      </c>
      <c r="K24" s="11" t="inlineStr">
        <is>
          <t>Quantity variance</t>
        </is>
      </c>
      <c r="L24" s="14">
        <f>IF(OR(J24="Paid",H24&gt;=TODAY()),0,TODAY()-H24)</f>
        <v/>
      </c>
      <c r="M24" s="11">
        <f>IF(J24="Paid","Paid",IF(L24=0,"Not Due",IF(L24&lt;=30,"1-30 Days",IF(L24&lt;=60,"31-60 Days",IF(L24&lt;=90,"61-90 Days","90+ Days")))))</f>
        <v/>
      </c>
    </row>
    <row r="25">
      <c r="A25" s="11" t="inlineStr">
        <is>
          <t>INV-2026-0024</t>
        </is>
      </c>
      <c r="B25" s="11" t="inlineStr">
        <is>
          <t>V1001</t>
        </is>
      </c>
      <c r="C25" s="11" t="inlineStr">
        <is>
          <t>Aster Office Supplies</t>
        </is>
      </c>
      <c r="D25" s="11" t="inlineStr">
        <is>
          <t>Non-PO</t>
        </is>
      </c>
      <c r="E25" s="11" t="inlineStr"/>
      <c r="F25" s="11" t="inlineStr"/>
      <c r="G25" s="12" t="n">
        <v>46249</v>
      </c>
      <c r="H25" s="12" t="n">
        <v>46264</v>
      </c>
      <c r="I25" s="13" t="n">
        <v>15431.47</v>
      </c>
      <c r="J25" s="11" t="inlineStr">
        <is>
          <t>Paid</t>
        </is>
      </c>
      <c r="K25" s="11" t="inlineStr"/>
      <c r="L25" s="14">
        <f>IF(OR(J25="Paid",H25&gt;=TODAY()),0,TODAY()-H25)</f>
        <v/>
      </c>
      <c r="M25" s="11">
        <f>IF(J25="Paid","Paid",IF(L25=0,"Not Due",IF(L25&lt;=30,"1-30 Days",IF(L25&lt;=60,"31-60 Days",IF(L25&lt;=90,"61-90 Days","90+ Days")))))</f>
        <v/>
      </c>
    </row>
    <row r="26">
      <c r="A26" s="11" t="inlineStr">
        <is>
          <t>INV-2026-0025</t>
        </is>
      </c>
      <c r="B26" s="11" t="inlineStr">
        <is>
          <t>V1004</t>
        </is>
      </c>
      <c r="C26" s="11" t="inlineStr">
        <is>
          <t>Delta Facilities</t>
        </is>
      </c>
      <c r="D26" s="11" t="inlineStr">
        <is>
          <t>PO-Based</t>
        </is>
      </c>
      <c r="E26" s="11" t="inlineStr">
        <is>
          <t>4586644106</t>
        </is>
      </c>
      <c r="F26" s="11" t="inlineStr">
        <is>
          <t>4942614537</t>
        </is>
      </c>
      <c r="G26" s="12" t="n">
        <v>46236</v>
      </c>
      <c r="H26" s="12" t="n">
        <v>46296</v>
      </c>
      <c r="I26" s="13" t="n">
        <v>173231.35</v>
      </c>
      <c r="J26" s="11" t="inlineStr">
        <is>
          <t>Open</t>
        </is>
      </c>
      <c r="K26" s="11" t="inlineStr"/>
      <c r="L26" s="14">
        <f>IF(OR(J26="Paid",H26&gt;=TODAY()),0,TODAY()-H26)</f>
        <v/>
      </c>
      <c r="M26" s="11">
        <f>IF(J26="Paid","Paid",IF(L26=0,"Not Due",IF(L26&lt;=30,"1-30 Days",IF(L26&lt;=60,"31-60 Days",IF(L26&lt;=90,"61-90 Days","90+ Days")))))</f>
        <v/>
      </c>
    </row>
    <row r="27">
      <c r="A27" s="11" t="inlineStr">
        <is>
          <t>INV-2026-0026</t>
        </is>
      </c>
      <c r="B27" s="11" t="inlineStr">
        <is>
          <t>V1008</t>
        </is>
      </c>
      <c r="C27" s="11" t="inlineStr">
        <is>
          <t>Harbor Utilities</t>
        </is>
      </c>
      <c r="D27" s="11" t="inlineStr">
        <is>
          <t>PO-Based</t>
        </is>
      </c>
      <c r="E27" s="11" t="inlineStr">
        <is>
          <t>4565177213</t>
        </is>
      </c>
      <c r="F27" s="11" t="inlineStr">
        <is>
          <t>4917270733</t>
        </is>
      </c>
      <c r="G27" s="12" t="n">
        <v>46203</v>
      </c>
      <c r="H27" s="12" t="n">
        <v>46233</v>
      </c>
      <c r="I27" s="13" t="n">
        <v>67159.31</v>
      </c>
      <c r="J27" s="11" t="inlineStr">
        <is>
          <t>Paid</t>
        </is>
      </c>
      <c r="K27" s="11" t="inlineStr"/>
      <c r="L27" s="14">
        <f>IF(OR(J27="Paid",H27&gt;=TODAY()),0,TODAY()-H27)</f>
        <v/>
      </c>
      <c r="M27" s="11">
        <f>IF(J27="Paid","Paid",IF(L27=0,"Not Due",IF(L27&lt;=30,"1-30 Days",IF(L27&lt;=60,"31-60 Days",IF(L27&lt;=90,"61-90 Days","90+ Days")))))</f>
        <v/>
      </c>
    </row>
    <row r="28">
      <c r="A28" s="11" t="inlineStr">
        <is>
          <t>INV-2026-0027</t>
        </is>
      </c>
      <c r="B28" s="11" t="inlineStr">
        <is>
          <t>V1002</t>
        </is>
      </c>
      <c r="C28" s="11" t="inlineStr">
        <is>
          <t>BluePeak Services</t>
        </is>
      </c>
      <c r="D28" s="11" t="inlineStr">
        <is>
          <t>Non-PO</t>
        </is>
      </c>
      <c r="E28" s="11" t="inlineStr"/>
      <c r="F28" s="11" t="inlineStr"/>
      <c r="G28" s="12" t="n">
        <v>46292</v>
      </c>
      <c r="H28" s="12" t="n">
        <v>46352</v>
      </c>
      <c r="I28" s="13" t="n">
        <v>22441.6</v>
      </c>
      <c r="J28" s="11" t="inlineStr">
        <is>
          <t>Paid</t>
        </is>
      </c>
      <c r="K28" s="11" t="inlineStr"/>
      <c r="L28" s="14">
        <f>IF(OR(J28="Paid",H28&gt;=TODAY()),0,TODAY()-H28)</f>
        <v/>
      </c>
      <c r="M28" s="11">
        <f>IF(J28="Paid","Paid",IF(L28=0,"Not Due",IF(L28&lt;=30,"1-30 Days",IF(L28&lt;=60,"31-60 Days",IF(L28&lt;=90,"61-90 Days","90+ Days")))))</f>
        <v/>
      </c>
    </row>
    <row r="29">
      <c r="A29" s="11" t="inlineStr">
        <is>
          <t>INV-2026-0028</t>
        </is>
      </c>
      <c r="B29" s="11" t="inlineStr">
        <is>
          <t>V1004</t>
        </is>
      </c>
      <c r="C29" s="11" t="inlineStr">
        <is>
          <t>Delta Facilities</t>
        </is>
      </c>
      <c r="D29" s="11" t="inlineStr">
        <is>
          <t>PO-Based</t>
        </is>
      </c>
      <c r="E29" s="11" t="inlineStr">
        <is>
          <t>4520117988</t>
        </is>
      </c>
      <c r="F29" s="11" t="inlineStr">
        <is>
          <t>4983863413</t>
        </is>
      </c>
      <c r="G29" s="12" t="n">
        <v>46259</v>
      </c>
      <c r="H29" s="12" t="n">
        <v>46319</v>
      </c>
      <c r="I29" s="13" t="n">
        <v>86929.62</v>
      </c>
      <c r="J29" s="11" t="inlineStr">
        <is>
          <t>Open</t>
        </is>
      </c>
      <c r="K29" s="11" t="inlineStr"/>
      <c r="L29" s="14">
        <f>IF(OR(J29="Paid",H29&gt;=TODAY()),0,TODAY()-H29)</f>
        <v/>
      </c>
      <c r="M29" s="11">
        <f>IF(J29="Paid","Paid",IF(L29=0,"Not Due",IF(L29&lt;=30,"1-30 Days",IF(L29&lt;=60,"31-60 Days",IF(L29&lt;=90,"61-90 Days","90+ Days")))))</f>
        <v/>
      </c>
    </row>
    <row r="30">
      <c r="A30" s="11" t="inlineStr">
        <is>
          <t>INV-2026-0029</t>
        </is>
      </c>
      <c r="B30" s="11" t="inlineStr">
        <is>
          <t>V1002</t>
        </is>
      </c>
      <c r="C30" s="11" t="inlineStr">
        <is>
          <t>BluePeak Services</t>
        </is>
      </c>
      <c r="D30" s="11" t="inlineStr">
        <is>
          <t>Non-PO</t>
        </is>
      </c>
      <c r="E30" s="11" t="inlineStr"/>
      <c r="F30" s="11" t="inlineStr"/>
      <c r="G30" s="12" t="n">
        <v>46295</v>
      </c>
      <c r="H30" s="12" t="n">
        <v>46310</v>
      </c>
      <c r="I30" s="13" t="n">
        <v>157386.97</v>
      </c>
      <c r="J30" s="11" t="inlineStr">
        <is>
          <t>Paid</t>
        </is>
      </c>
      <c r="K30" s="11" t="inlineStr"/>
      <c r="L30" s="14">
        <f>IF(OR(J30="Paid",H30&gt;=TODAY()),0,TODAY()-H30)</f>
        <v/>
      </c>
      <c r="M30" s="11">
        <f>IF(J30="Paid","Paid",IF(L30=0,"Not Due",IF(L30&lt;=30,"1-30 Days",IF(L30&lt;=60,"31-60 Days",IF(L30&lt;=90,"61-90 Days","90+ Days")))))</f>
        <v/>
      </c>
    </row>
    <row r="31">
      <c r="A31" s="11" t="inlineStr">
        <is>
          <t>INV-2026-0030</t>
        </is>
      </c>
      <c r="B31" s="11" t="inlineStr">
        <is>
          <t>V1003</t>
        </is>
      </c>
      <c r="C31" s="11" t="inlineStr">
        <is>
          <t>Cedar Industrial</t>
        </is>
      </c>
      <c r="D31" s="11" t="inlineStr">
        <is>
          <t>PO-Based</t>
        </is>
      </c>
      <c r="E31" s="11" t="inlineStr">
        <is>
          <t>4532097220</t>
        </is>
      </c>
      <c r="F31" s="11" t="inlineStr">
        <is>
          <t>4962401521</t>
        </is>
      </c>
      <c r="G31" s="12" t="n">
        <v>46203</v>
      </c>
      <c r="H31" s="12" t="n">
        <v>46263</v>
      </c>
      <c r="I31" s="13" t="n">
        <v>167195.82</v>
      </c>
      <c r="J31" s="11" t="inlineStr">
        <is>
          <t>Paid</t>
        </is>
      </c>
      <c r="K31" s="11" t="inlineStr"/>
      <c r="L31" s="14">
        <f>IF(OR(J31="Paid",H31&gt;=TODAY()),0,TODAY()-H31)</f>
        <v/>
      </c>
      <c r="M31" s="11">
        <f>IF(J31="Paid","Paid",IF(L31=0,"Not Due",IF(L31&lt;=30,"1-30 Days",IF(L31&lt;=60,"31-60 Days",IF(L31&lt;=90,"61-90 Days","90+ Days")))))</f>
        <v/>
      </c>
    </row>
    <row r="32">
      <c r="A32" s="11" t="inlineStr">
        <is>
          <t>INV-2026-0031</t>
        </is>
      </c>
      <c r="B32" s="11" t="inlineStr">
        <is>
          <t>V1005</t>
        </is>
      </c>
      <c r="C32" s="11" t="inlineStr">
        <is>
          <t>Evergreen IT Services</t>
        </is>
      </c>
      <c r="D32" s="11" t="inlineStr">
        <is>
          <t>PO-Based</t>
        </is>
      </c>
      <c r="E32" s="11" t="inlineStr">
        <is>
          <t>4584593961</t>
        </is>
      </c>
      <c r="F32" s="11" t="inlineStr">
        <is>
          <t>4975319931</t>
        </is>
      </c>
      <c r="G32" s="12" t="n">
        <v>46191</v>
      </c>
      <c r="H32" s="12" t="n">
        <v>46236</v>
      </c>
      <c r="I32" s="13" t="n">
        <v>184164.64</v>
      </c>
      <c r="J32" s="11" t="inlineStr">
        <is>
          <t>Parked</t>
        </is>
      </c>
      <c r="K32" s="11" t="inlineStr">
        <is>
          <t>Missing GR</t>
        </is>
      </c>
      <c r="L32" s="14">
        <f>IF(OR(J32="Paid",H32&gt;=TODAY()),0,TODAY()-H32)</f>
        <v/>
      </c>
      <c r="M32" s="11">
        <f>IF(J32="Paid","Paid",IF(L32=0,"Not Due",IF(L32&lt;=30,"1-30 Days",IF(L32&lt;=60,"31-60 Days",IF(L32&lt;=90,"61-90 Days","90+ Days")))))</f>
        <v/>
      </c>
    </row>
    <row r="33">
      <c r="A33" s="11" t="inlineStr">
        <is>
          <t>INV-2026-0032</t>
        </is>
      </c>
      <c r="B33" s="11" t="inlineStr">
        <is>
          <t>V1004</t>
        </is>
      </c>
      <c r="C33" s="11" t="inlineStr">
        <is>
          <t>Delta Facilities</t>
        </is>
      </c>
      <c r="D33" s="11" t="inlineStr">
        <is>
          <t>Non-PO</t>
        </is>
      </c>
      <c r="E33" s="11" t="inlineStr"/>
      <c r="F33" s="11" t="inlineStr"/>
      <c r="G33" s="12" t="n">
        <v>46232</v>
      </c>
      <c r="H33" s="12" t="n">
        <v>46262</v>
      </c>
      <c r="I33" s="13" t="n">
        <v>101450.62</v>
      </c>
      <c r="J33" s="11" t="inlineStr">
        <is>
          <t>Blocked</t>
        </is>
      </c>
      <c r="K33" s="11" t="inlineStr">
        <is>
          <t>Quantity variance</t>
        </is>
      </c>
      <c r="L33" s="14">
        <f>IF(OR(J33="Paid",H33&gt;=TODAY()),0,TODAY()-H33)</f>
        <v/>
      </c>
      <c r="M33" s="11">
        <f>IF(J33="Paid","Paid",IF(L33=0,"Not Due",IF(L33&lt;=30,"1-30 Days",IF(L33&lt;=60,"31-60 Days",IF(L33&lt;=90,"61-90 Days","90+ Days")))))</f>
        <v/>
      </c>
    </row>
    <row r="34">
      <c r="A34" s="11" t="inlineStr">
        <is>
          <t>INV-2026-0033</t>
        </is>
      </c>
      <c r="B34" s="11" t="inlineStr">
        <is>
          <t>V1006</t>
        </is>
      </c>
      <c r="C34" s="11" t="inlineStr">
        <is>
          <t>Fairview Logistics</t>
        </is>
      </c>
      <c r="D34" s="11" t="inlineStr">
        <is>
          <t>PO-Based</t>
        </is>
      </c>
      <c r="E34" s="11" t="inlineStr">
        <is>
          <t>4531130263</t>
        </is>
      </c>
      <c r="F34" s="11" t="inlineStr"/>
      <c r="G34" s="12" t="n">
        <v>46293</v>
      </c>
      <c r="H34" s="12" t="n">
        <v>46308</v>
      </c>
      <c r="I34" s="13" t="n">
        <v>158121.38</v>
      </c>
      <c r="J34" s="11" t="inlineStr">
        <is>
          <t>Blocked</t>
        </is>
      </c>
      <c r="K34" s="11" t="inlineStr">
        <is>
          <t>Missing documentation</t>
        </is>
      </c>
      <c r="L34" s="14">
        <f>IF(OR(J34="Paid",H34&gt;=TODAY()),0,TODAY()-H34)</f>
        <v/>
      </c>
      <c r="M34" s="11">
        <f>IF(J34="Paid","Paid",IF(L34=0,"Not Due",IF(L34&lt;=30,"1-30 Days",IF(L34&lt;=60,"31-60 Days",IF(L34&lt;=90,"61-90 Days","90+ Days")))))</f>
        <v/>
      </c>
    </row>
    <row r="35">
      <c r="A35" s="11" t="inlineStr">
        <is>
          <t>INV-2026-0034</t>
        </is>
      </c>
      <c r="B35" s="11" t="inlineStr">
        <is>
          <t>V1002</t>
        </is>
      </c>
      <c r="C35" s="11" t="inlineStr">
        <is>
          <t>BluePeak Services</t>
        </is>
      </c>
      <c r="D35" s="11" t="inlineStr">
        <is>
          <t>PO-Based</t>
        </is>
      </c>
      <c r="E35" s="11" t="inlineStr">
        <is>
          <t>4526090908</t>
        </is>
      </c>
      <c r="F35" s="11" t="inlineStr">
        <is>
          <t>4986460539</t>
        </is>
      </c>
      <c r="G35" s="12" t="n">
        <v>46260</v>
      </c>
      <c r="H35" s="12" t="n">
        <v>46275</v>
      </c>
      <c r="I35" s="13" t="n">
        <v>45424.71</v>
      </c>
      <c r="J35" s="11" t="inlineStr">
        <is>
          <t>Paid</t>
        </is>
      </c>
      <c r="K35" s="11" t="inlineStr"/>
      <c r="L35" s="14">
        <f>IF(OR(J35="Paid",H35&gt;=TODAY()),0,TODAY()-H35)</f>
        <v/>
      </c>
      <c r="M35" s="11">
        <f>IF(J35="Paid","Paid",IF(L35=0,"Not Due",IF(L35&lt;=30,"1-30 Days",IF(L35&lt;=60,"31-60 Days",IF(L35&lt;=90,"61-90 Days","90+ Days")))))</f>
        <v/>
      </c>
    </row>
    <row r="36">
      <c r="A36" s="11" t="inlineStr">
        <is>
          <t>INV-2026-0035</t>
        </is>
      </c>
      <c r="B36" s="11" t="inlineStr">
        <is>
          <t>V1004</t>
        </is>
      </c>
      <c r="C36" s="11" t="inlineStr">
        <is>
          <t>Delta Facilities</t>
        </is>
      </c>
      <c r="D36" s="11" t="inlineStr">
        <is>
          <t>PO-Based</t>
        </is>
      </c>
      <c r="E36" s="11" t="inlineStr">
        <is>
          <t>4544999379</t>
        </is>
      </c>
      <c r="F36" s="11" t="inlineStr">
        <is>
          <t>4952169044</t>
        </is>
      </c>
      <c r="G36" s="12" t="n">
        <v>46297</v>
      </c>
      <c r="H36" s="12" t="n">
        <v>46312</v>
      </c>
      <c r="I36" s="13" t="n">
        <v>97907.85000000001</v>
      </c>
      <c r="J36" s="11" t="inlineStr">
        <is>
          <t>Blocked</t>
        </is>
      </c>
      <c r="K36" s="11" t="inlineStr">
        <is>
          <t>Missing GR</t>
        </is>
      </c>
      <c r="L36" s="14">
        <f>IF(OR(J36="Paid",H36&gt;=TODAY()),0,TODAY()-H36)</f>
        <v/>
      </c>
      <c r="M36" s="11">
        <f>IF(J36="Paid","Paid",IF(L36=0,"Not Due",IF(L36&lt;=30,"1-30 Days",IF(L36&lt;=60,"31-60 Days",IF(L36&lt;=90,"61-90 Days","90+ Days")))))</f>
        <v/>
      </c>
    </row>
    <row r="37">
      <c r="A37" s="11" t="inlineStr">
        <is>
          <t>INV-2026-0036</t>
        </is>
      </c>
      <c r="B37" s="11" t="inlineStr">
        <is>
          <t>V1005</t>
        </is>
      </c>
      <c r="C37" s="11" t="inlineStr">
        <is>
          <t>Evergreen IT Services</t>
        </is>
      </c>
      <c r="D37" s="11" t="inlineStr">
        <is>
          <t>PO-Based</t>
        </is>
      </c>
      <c r="E37" s="11" t="inlineStr">
        <is>
          <t>4519736572</t>
        </is>
      </c>
      <c r="F37" s="11" t="inlineStr"/>
      <c r="G37" s="12" t="n">
        <v>46206</v>
      </c>
      <c r="H37" s="12" t="n">
        <v>46236</v>
      </c>
      <c r="I37" s="13" t="n">
        <v>60202.34</v>
      </c>
      <c r="J37" s="11" t="inlineStr">
        <is>
          <t>Open</t>
        </is>
      </c>
      <c r="K37" s="11" t="inlineStr"/>
      <c r="L37" s="14">
        <f>IF(OR(J37="Paid",H37&gt;=TODAY()),0,TODAY()-H37)</f>
        <v/>
      </c>
      <c r="M37" s="11">
        <f>IF(J37="Paid","Paid",IF(L37=0,"Not Due",IF(L37&lt;=30,"1-30 Days",IF(L37&lt;=60,"31-60 Days",IF(L37&lt;=90,"61-90 Days","90+ Days")))))</f>
        <v/>
      </c>
    </row>
    <row r="38">
      <c r="A38" s="11" t="inlineStr">
        <is>
          <t>INV-2026-0037</t>
        </is>
      </c>
      <c r="B38" s="11" t="inlineStr">
        <is>
          <t>V1010</t>
        </is>
      </c>
      <c r="C38" s="11" t="inlineStr">
        <is>
          <t>Juniper Components</t>
        </is>
      </c>
      <c r="D38" s="11" t="inlineStr">
        <is>
          <t>PO-Based</t>
        </is>
      </c>
      <c r="E38" s="11" t="inlineStr">
        <is>
          <t>4556843172</t>
        </is>
      </c>
      <c r="F38" s="11" t="inlineStr">
        <is>
          <t>4942787299</t>
        </is>
      </c>
      <c r="G38" s="12" t="n">
        <v>46163</v>
      </c>
      <c r="H38" s="12" t="n">
        <v>46178</v>
      </c>
      <c r="I38" s="13" t="n">
        <v>50899.08</v>
      </c>
      <c r="J38" s="11" t="inlineStr">
        <is>
          <t>Open</t>
        </is>
      </c>
      <c r="K38" s="11" t="inlineStr"/>
      <c r="L38" s="14">
        <f>IF(OR(J38="Paid",H38&gt;=TODAY()),0,TODAY()-H38)</f>
        <v/>
      </c>
      <c r="M38" s="11">
        <f>IF(J38="Paid","Paid",IF(L38=0,"Not Due",IF(L38&lt;=30,"1-30 Days",IF(L38&lt;=60,"31-60 Days",IF(L38&lt;=90,"61-90 Days","90+ Days")))))</f>
        <v/>
      </c>
    </row>
    <row r="39">
      <c r="A39" s="11" t="inlineStr">
        <is>
          <t>INV-2026-0038</t>
        </is>
      </c>
      <c r="B39" s="11" t="inlineStr">
        <is>
          <t>V1006</t>
        </is>
      </c>
      <c r="C39" s="11" t="inlineStr">
        <is>
          <t>Fairview Logistics</t>
        </is>
      </c>
      <c r="D39" s="11" t="inlineStr">
        <is>
          <t>PO-Based</t>
        </is>
      </c>
      <c r="E39" s="11" t="inlineStr">
        <is>
          <t>4597775215</t>
        </is>
      </c>
      <c r="F39" s="11" t="inlineStr">
        <is>
          <t>4999639081</t>
        </is>
      </c>
      <c r="G39" s="12" t="n">
        <v>46235</v>
      </c>
      <c r="H39" s="12" t="n">
        <v>46265</v>
      </c>
      <c r="I39" s="13" t="n">
        <v>57709.38</v>
      </c>
      <c r="J39" s="11" t="inlineStr">
        <is>
          <t>Blocked</t>
        </is>
      </c>
      <c r="K39" s="11" t="inlineStr">
        <is>
          <t>Missing documentation</t>
        </is>
      </c>
      <c r="L39" s="14">
        <f>IF(OR(J39="Paid",H39&gt;=TODAY()),0,TODAY()-H39)</f>
        <v/>
      </c>
      <c r="M39" s="11">
        <f>IF(J39="Paid","Paid",IF(L39=0,"Not Due",IF(L39&lt;=30,"1-30 Days",IF(L39&lt;=60,"31-60 Days",IF(L39&lt;=90,"61-90 Days","90+ Days")))))</f>
        <v/>
      </c>
    </row>
    <row r="40">
      <c r="A40" s="11" t="inlineStr">
        <is>
          <t>INV-2026-0039</t>
        </is>
      </c>
      <c r="B40" s="11" t="inlineStr">
        <is>
          <t>V1005</t>
        </is>
      </c>
      <c r="C40" s="11" t="inlineStr">
        <is>
          <t>Evergreen IT Services</t>
        </is>
      </c>
      <c r="D40" s="11" t="inlineStr">
        <is>
          <t>PO-Based</t>
        </is>
      </c>
      <c r="E40" s="11" t="inlineStr">
        <is>
          <t>4530863865</t>
        </is>
      </c>
      <c r="F40" s="11" t="inlineStr">
        <is>
          <t>4991178885</t>
        </is>
      </c>
      <c r="G40" s="12" t="n">
        <v>46281</v>
      </c>
      <c r="H40" s="12" t="n">
        <v>46311</v>
      </c>
      <c r="I40" s="13" t="n">
        <v>137991.04</v>
      </c>
      <c r="J40" s="11" t="inlineStr">
        <is>
          <t>Paid</t>
        </is>
      </c>
      <c r="K40" s="11" t="inlineStr"/>
      <c r="L40" s="14">
        <f>IF(OR(J40="Paid",H40&gt;=TODAY()),0,TODAY()-H40)</f>
        <v/>
      </c>
      <c r="M40" s="11">
        <f>IF(J40="Paid","Paid",IF(L40=0,"Not Due",IF(L40&lt;=30,"1-30 Days",IF(L40&lt;=60,"31-60 Days",IF(L40&lt;=90,"61-90 Days","90+ Days")))))</f>
        <v/>
      </c>
    </row>
    <row r="41">
      <c r="A41" s="11" t="inlineStr">
        <is>
          <t>INV-2026-0040</t>
        </is>
      </c>
      <c r="B41" s="11" t="inlineStr">
        <is>
          <t>V1004</t>
        </is>
      </c>
      <c r="C41" s="11" t="inlineStr">
        <is>
          <t>Delta Facilities</t>
        </is>
      </c>
      <c r="D41" s="11" t="inlineStr">
        <is>
          <t>PO-Based</t>
        </is>
      </c>
      <c r="E41" s="11" t="inlineStr">
        <is>
          <t>4543704923</t>
        </is>
      </c>
      <c r="F41" s="11" t="inlineStr">
        <is>
          <t>4916818112</t>
        </is>
      </c>
      <c r="G41" s="12" t="n">
        <v>46220</v>
      </c>
      <c r="H41" s="12" t="n">
        <v>46250</v>
      </c>
      <c r="I41" s="13" t="n">
        <v>94737.14999999999</v>
      </c>
      <c r="J41" s="11" t="inlineStr">
        <is>
          <t>Paid</t>
        </is>
      </c>
      <c r="K41" s="11" t="inlineStr"/>
      <c r="L41" s="14">
        <f>IF(OR(J41="Paid",H41&gt;=TODAY()),0,TODAY()-H41)</f>
        <v/>
      </c>
      <c r="M41" s="11">
        <f>IF(J41="Paid","Paid",IF(L41=0,"Not Due",IF(L41&lt;=30,"1-30 Days",IF(L41&lt;=60,"31-60 Days",IF(L41&lt;=90,"61-90 Days","90+ Days")))))</f>
        <v/>
      </c>
    </row>
    <row r="42">
      <c r="A42" s="11" t="inlineStr">
        <is>
          <t>INV-2026-0041</t>
        </is>
      </c>
      <c r="B42" s="11" t="inlineStr">
        <is>
          <t>V1002</t>
        </is>
      </c>
      <c r="C42" s="11" t="inlineStr">
        <is>
          <t>BluePeak Services</t>
        </is>
      </c>
      <c r="D42" s="11" t="inlineStr">
        <is>
          <t>PO-Based</t>
        </is>
      </c>
      <c r="E42" s="11" t="inlineStr">
        <is>
          <t>4545159040</t>
        </is>
      </c>
      <c r="F42" s="11" t="inlineStr">
        <is>
          <t>4969302158</t>
        </is>
      </c>
      <c r="G42" s="12" t="n">
        <v>46199</v>
      </c>
      <c r="H42" s="12" t="n">
        <v>46244</v>
      </c>
      <c r="I42" s="13" t="n">
        <v>26374.59</v>
      </c>
      <c r="J42" s="11" t="inlineStr">
        <is>
          <t>Open</t>
        </is>
      </c>
      <c r="K42" s="11" t="inlineStr"/>
      <c r="L42" s="14">
        <f>IF(OR(J42="Paid",H42&gt;=TODAY()),0,TODAY()-H42)</f>
        <v/>
      </c>
      <c r="M42" s="11">
        <f>IF(J42="Paid","Paid",IF(L42=0,"Not Due",IF(L42&lt;=30,"1-30 Days",IF(L42&lt;=60,"31-60 Days",IF(L42&lt;=90,"61-90 Days","90+ Days")))))</f>
        <v/>
      </c>
    </row>
    <row r="43">
      <c r="A43" s="11" t="inlineStr">
        <is>
          <t>INV-2026-0042</t>
        </is>
      </c>
      <c r="B43" s="11" t="inlineStr">
        <is>
          <t>V1009</t>
        </is>
      </c>
      <c r="C43" s="11" t="inlineStr">
        <is>
          <t>Indigo Consulting</t>
        </is>
      </c>
      <c r="D43" s="11" t="inlineStr">
        <is>
          <t>PO-Based</t>
        </is>
      </c>
      <c r="E43" s="11" t="inlineStr">
        <is>
          <t>4530005727</t>
        </is>
      </c>
      <c r="F43" s="11" t="inlineStr">
        <is>
          <t>4959555330</t>
        </is>
      </c>
      <c r="G43" s="12" t="n">
        <v>46198</v>
      </c>
      <c r="H43" s="12" t="n">
        <v>46213</v>
      </c>
      <c r="I43" s="13" t="n">
        <v>128611.08</v>
      </c>
      <c r="J43" s="11" t="inlineStr">
        <is>
          <t>Parked</t>
        </is>
      </c>
      <c r="K43" s="11" t="inlineStr">
        <is>
          <t>Missing documentation</t>
        </is>
      </c>
      <c r="L43" s="14">
        <f>IF(OR(J43="Paid",H43&gt;=TODAY()),0,TODAY()-H43)</f>
        <v/>
      </c>
      <c r="M43" s="11">
        <f>IF(J43="Paid","Paid",IF(L43=0,"Not Due",IF(L43&lt;=30,"1-30 Days",IF(L43&lt;=60,"31-60 Days",IF(L43&lt;=90,"61-90 Days","90+ Days")))))</f>
        <v/>
      </c>
    </row>
    <row r="44">
      <c r="A44" s="11" t="inlineStr">
        <is>
          <t>INV-2026-0043</t>
        </is>
      </c>
      <c r="B44" s="11" t="inlineStr">
        <is>
          <t>V1009</t>
        </is>
      </c>
      <c r="C44" s="11" t="inlineStr">
        <is>
          <t>Indigo Consulting</t>
        </is>
      </c>
      <c r="D44" s="11" t="inlineStr">
        <is>
          <t>PO-Based</t>
        </is>
      </c>
      <c r="E44" s="11" t="inlineStr">
        <is>
          <t>4515354599</t>
        </is>
      </c>
      <c r="F44" s="11" t="inlineStr">
        <is>
          <t>4938195995</t>
        </is>
      </c>
      <c r="G44" s="12" t="n">
        <v>46270</v>
      </c>
      <c r="H44" s="12" t="n">
        <v>46330</v>
      </c>
      <c r="I44" s="13" t="n">
        <v>166564.12</v>
      </c>
      <c r="J44" s="11" t="inlineStr">
        <is>
          <t>Open</t>
        </is>
      </c>
      <c r="K44" s="11" t="inlineStr"/>
      <c r="L44" s="14">
        <f>IF(OR(J44="Paid",H44&gt;=TODAY()),0,TODAY()-H44)</f>
        <v/>
      </c>
      <c r="M44" s="11">
        <f>IF(J44="Paid","Paid",IF(L44=0,"Not Due",IF(L44&lt;=30,"1-30 Days",IF(L44&lt;=60,"31-60 Days",IF(L44&lt;=90,"61-90 Days","90+ Days")))))</f>
        <v/>
      </c>
    </row>
    <row r="45">
      <c r="A45" s="11" t="inlineStr">
        <is>
          <t>INV-2026-0044</t>
        </is>
      </c>
      <c r="B45" s="11" t="inlineStr">
        <is>
          <t>V1004</t>
        </is>
      </c>
      <c r="C45" s="11" t="inlineStr">
        <is>
          <t>Delta Facilities</t>
        </is>
      </c>
      <c r="D45" s="11" t="inlineStr">
        <is>
          <t>Non-PO</t>
        </is>
      </c>
      <c r="E45" s="11" t="inlineStr"/>
      <c r="F45" s="11" t="inlineStr"/>
      <c r="G45" s="12" t="n">
        <v>46281</v>
      </c>
      <c r="H45" s="12" t="n">
        <v>46326</v>
      </c>
      <c r="I45" s="13" t="n">
        <v>76663.87</v>
      </c>
      <c r="J45" s="11" t="inlineStr">
        <is>
          <t>Paid</t>
        </is>
      </c>
      <c r="K45" s="11" t="inlineStr"/>
      <c r="L45" s="14">
        <f>IF(OR(J45="Paid",H45&gt;=TODAY()),0,TODAY()-H45)</f>
        <v/>
      </c>
      <c r="M45" s="11">
        <f>IF(J45="Paid","Paid",IF(L45=0,"Not Due",IF(L45&lt;=30,"1-30 Days",IF(L45&lt;=60,"31-60 Days",IF(L45&lt;=90,"61-90 Days","90+ Days")))))</f>
        <v/>
      </c>
    </row>
    <row r="46">
      <c r="A46" s="11" t="inlineStr">
        <is>
          <t>INV-2026-0045</t>
        </is>
      </c>
      <c r="B46" s="11" t="inlineStr">
        <is>
          <t>V1010</t>
        </is>
      </c>
      <c r="C46" s="11" t="inlineStr">
        <is>
          <t>Juniper Components</t>
        </is>
      </c>
      <c r="D46" s="11" t="inlineStr">
        <is>
          <t>Non-PO</t>
        </is>
      </c>
      <c r="E46" s="11" t="inlineStr"/>
      <c r="F46" s="11" t="inlineStr"/>
      <c r="G46" s="12" t="n">
        <v>46268</v>
      </c>
      <c r="H46" s="12" t="n">
        <v>46298</v>
      </c>
      <c r="I46" s="13" t="n">
        <v>150465.84</v>
      </c>
      <c r="J46" s="11" t="inlineStr">
        <is>
          <t>Parked</t>
        </is>
      </c>
      <c r="K46" s="11" t="inlineStr">
        <is>
          <t>Duplicate check</t>
        </is>
      </c>
      <c r="L46" s="14">
        <f>IF(OR(J46="Paid",H46&gt;=TODAY()),0,TODAY()-H46)</f>
        <v/>
      </c>
      <c r="M46" s="11">
        <f>IF(J46="Paid","Paid",IF(L46=0,"Not Due",IF(L46&lt;=30,"1-30 Days",IF(L46&lt;=60,"31-60 Days",IF(L46&lt;=90,"61-90 Days","90+ Days")))))</f>
        <v/>
      </c>
    </row>
    <row r="47">
      <c r="A47" s="11" t="inlineStr">
        <is>
          <t>INV-2026-0046</t>
        </is>
      </c>
      <c r="B47" s="11" t="inlineStr">
        <is>
          <t>V1001</t>
        </is>
      </c>
      <c r="C47" s="11" t="inlineStr">
        <is>
          <t>Aster Office Supplies</t>
        </is>
      </c>
      <c r="D47" s="11" t="inlineStr">
        <is>
          <t>Non-PO</t>
        </is>
      </c>
      <c r="E47" s="11" t="inlineStr"/>
      <c r="F47" s="11" t="inlineStr"/>
      <c r="G47" s="12" t="n">
        <v>46262</v>
      </c>
      <c r="H47" s="12" t="n">
        <v>46307</v>
      </c>
      <c r="I47" s="13" t="n">
        <v>124758.05</v>
      </c>
      <c r="J47" s="11" t="inlineStr">
        <is>
          <t>Open</t>
        </is>
      </c>
      <c r="K47" s="11" t="inlineStr"/>
      <c r="L47" s="14">
        <f>IF(OR(J47="Paid",H47&gt;=TODAY()),0,TODAY()-H47)</f>
        <v/>
      </c>
      <c r="M47" s="11">
        <f>IF(J47="Paid","Paid",IF(L47=0,"Not Due",IF(L47&lt;=30,"1-30 Days",IF(L47&lt;=60,"31-60 Days",IF(L47&lt;=90,"61-90 Days","90+ Days")))))</f>
        <v/>
      </c>
    </row>
    <row r="48">
      <c r="A48" s="11" t="inlineStr">
        <is>
          <t>INV-2026-0047</t>
        </is>
      </c>
      <c r="B48" s="11" t="inlineStr">
        <is>
          <t>V1004</t>
        </is>
      </c>
      <c r="C48" s="11" t="inlineStr">
        <is>
          <t>Delta Facilities</t>
        </is>
      </c>
      <c r="D48" s="11" t="inlineStr">
        <is>
          <t>Non-PO</t>
        </is>
      </c>
      <c r="E48" s="11" t="inlineStr"/>
      <c r="F48" s="11" t="inlineStr"/>
      <c r="G48" s="12" t="n">
        <v>46239</v>
      </c>
      <c r="H48" s="12" t="n">
        <v>46269</v>
      </c>
      <c r="I48" s="13" t="n">
        <v>161670.44</v>
      </c>
      <c r="J48" s="11" t="inlineStr">
        <is>
          <t>Open</t>
        </is>
      </c>
      <c r="K48" s="11" t="inlineStr"/>
      <c r="L48" s="14">
        <f>IF(OR(J48="Paid",H48&gt;=TODAY()),0,TODAY()-H48)</f>
        <v/>
      </c>
      <c r="M48" s="11">
        <f>IF(J48="Paid","Paid",IF(L48=0,"Not Due",IF(L48&lt;=30,"1-30 Days",IF(L48&lt;=60,"31-60 Days",IF(L48&lt;=90,"61-90 Days","90+ Days")))))</f>
        <v/>
      </c>
    </row>
    <row r="49">
      <c r="A49" s="11" t="inlineStr">
        <is>
          <t>INV-2026-0048</t>
        </is>
      </c>
      <c r="B49" s="11" t="inlineStr">
        <is>
          <t>V1008</t>
        </is>
      </c>
      <c r="C49" s="11" t="inlineStr">
        <is>
          <t>Harbor Utilities</t>
        </is>
      </c>
      <c r="D49" s="11" t="inlineStr">
        <is>
          <t>Non-PO</t>
        </is>
      </c>
      <c r="E49" s="11" t="inlineStr"/>
      <c r="F49" s="11" t="inlineStr"/>
      <c r="G49" s="12" t="n">
        <v>46251</v>
      </c>
      <c r="H49" s="12" t="n">
        <v>46281</v>
      </c>
      <c r="I49" s="13" t="n">
        <v>58197.33</v>
      </c>
      <c r="J49" s="11" t="inlineStr">
        <is>
          <t>Blocked</t>
        </is>
      </c>
      <c r="K49" s="11" t="inlineStr">
        <is>
          <t>Missing GR</t>
        </is>
      </c>
      <c r="L49" s="14">
        <f>IF(OR(J49="Paid",H49&gt;=TODAY()),0,TODAY()-H49)</f>
        <v/>
      </c>
      <c r="M49" s="11">
        <f>IF(J49="Paid","Paid",IF(L49=0,"Not Due",IF(L49&lt;=30,"1-30 Days",IF(L49&lt;=60,"31-60 Days",IF(L49&lt;=90,"61-90 Days","90+ Days")))))</f>
        <v/>
      </c>
    </row>
    <row r="50">
      <c r="A50" s="11" t="inlineStr">
        <is>
          <t>INV-2026-0049</t>
        </is>
      </c>
      <c r="B50" s="11" t="inlineStr">
        <is>
          <t>V1004</t>
        </is>
      </c>
      <c r="C50" s="11" t="inlineStr">
        <is>
          <t>Delta Facilities</t>
        </is>
      </c>
      <c r="D50" s="11" t="inlineStr">
        <is>
          <t>PO-Based</t>
        </is>
      </c>
      <c r="E50" s="11" t="inlineStr">
        <is>
          <t>4547463522</t>
        </is>
      </c>
      <c r="F50" s="11" t="inlineStr">
        <is>
          <t>4978371272</t>
        </is>
      </c>
      <c r="G50" s="12" t="n">
        <v>46301</v>
      </c>
      <c r="H50" s="12" t="n">
        <v>46331</v>
      </c>
      <c r="I50" s="13" t="n">
        <v>15169.29</v>
      </c>
      <c r="J50" s="11" t="inlineStr">
        <is>
          <t>Open</t>
        </is>
      </c>
      <c r="K50" s="11" t="inlineStr"/>
      <c r="L50" s="14">
        <f>IF(OR(J50="Paid",H50&gt;=TODAY()),0,TODAY()-H50)</f>
        <v/>
      </c>
      <c r="M50" s="11">
        <f>IF(J50="Paid","Paid",IF(L50=0,"Not Due",IF(L50&lt;=30,"1-30 Days",IF(L50&lt;=60,"31-60 Days",IF(L50&lt;=90,"61-90 Days","90+ Days")))))</f>
        <v/>
      </c>
    </row>
    <row r="51">
      <c r="A51" s="11" t="inlineStr">
        <is>
          <t>INV-2026-0050</t>
        </is>
      </c>
      <c r="B51" s="11" t="inlineStr">
        <is>
          <t>V1007</t>
        </is>
      </c>
      <c r="C51" s="11" t="inlineStr">
        <is>
          <t>Granite Packaging</t>
        </is>
      </c>
      <c r="D51" s="11" t="inlineStr">
        <is>
          <t>Non-PO</t>
        </is>
      </c>
      <c r="E51" s="11" t="inlineStr"/>
      <c r="F51" s="11" t="inlineStr"/>
      <c r="G51" s="12" t="n">
        <v>46170</v>
      </c>
      <c r="H51" s="12" t="n">
        <v>46215</v>
      </c>
      <c r="I51" s="13" t="n">
        <v>179598.11</v>
      </c>
      <c r="J51" s="11" t="inlineStr">
        <is>
          <t>Open</t>
        </is>
      </c>
      <c r="K51" s="11" t="inlineStr"/>
      <c r="L51" s="14">
        <f>IF(OR(J51="Paid",H51&gt;=TODAY()),0,TODAY()-H51)</f>
        <v/>
      </c>
      <c r="M51" s="11">
        <f>IF(J51="Paid","Paid",IF(L51=0,"Not Due",IF(L51&lt;=30,"1-30 Days",IF(L51&lt;=60,"31-60 Days",IF(L51&lt;=90,"61-90 Days","90+ Days")))))</f>
        <v/>
      </c>
    </row>
    <row r="52">
      <c r="A52" s="11" t="inlineStr">
        <is>
          <t>INV-2026-0051</t>
        </is>
      </c>
      <c r="B52" s="11" t="inlineStr">
        <is>
          <t>V1003</t>
        </is>
      </c>
      <c r="C52" s="11" t="inlineStr">
        <is>
          <t>Cedar Industrial</t>
        </is>
      </c>
      <c r="D52" s="11" t="inlineStr">
        <is>
          <t>PO-Based</t>
        </is>
      </c>
      <c r="E52" s="11" t="inlineStr">
        <is>
          <t>4552101056</t>
        </is>
      </c>
      <c r="F52" s="11" t="inlineStr">
        <is>
          <t>4978642041</t>
        </is>
      </c>
      <c r="G52" s="12" t="n">
        <v>46240</v>
      </c>
      <c r="H52" s="12" t="n">
        <v>46255</v>
      </c>
      <c r="I52" s="13" t="n">
        <v>135459.47</v>
      </c>
      <c r="J52" s="11" t="inlineStr">
        <is>
          <t>Open</t>
        </is>
      </c>
      <c r="K52" s="11" t="inlineStr"/>
      <c r="L52" s="14">
        <f>IF(OR(J52="Paid",H52&gt;=TODAY()),0,TODAY()-H52)</f>
        <v/>
      </c>
      <c r="M52" s="11">
        <f>IF(J52="Paid","Paid",IF(L52=0,"Not Due",IF(L52&lt;=30,"1-30 Days",IF(L52&lt;=60,"31-60 Days",IF(L52&lt;=90,"61-90 Days","90+ Days")))))</f>
        <v/>
      </c>
    </row>
    <row r="53">
      <c r="A53" s="11" t="inlineStr">
        <is>
          <t>INV-2026-0052</t>
        </is>
      </c>
      <c r="B53" s="11" t="inlineStr">
        <is>
          <t>V1002</t>
        </is>
      </c>
      <c r="C53" s="11" t="inlineStr">
        <is>
          <t>BluePeak Services</t>
        </is>
      </c>
      <c r="D53" s="11" t="inlineStr">
        <is>
          <t>PO-Based</t>
        </is>
      </c>
      <c r="E53" s="11" t="inlineStr">
        <is>
          <t>4582269803</t>
        </is>
      </c>
      <c r="F53" s="11" t="inlineStr">
        <is>
          <t>4936445607</t>
        </is>
      </c>
      <c r="G53" s="12" t="n">
        <v>46209</v>
      </c>
      <c r="H53" s="12" t="n">
        <v>46239</v>
      </c>
      <c r="I53" s="13" t="n">
        <v>2808.66</v>
      </c>
      <c r="J53" s="11" t="inlineStr">
        <is>
          <t>Paid</t>
        </is>
      </c>
      <c r="K53" s="11" t="inlineStr"/>
      <c r="L53" s="14">
        <f>IF(OR(J53="Paid",H53&gt;=TODAY()),0,TODAY()-H53)</f>
        <v/>
      </c>
      <c r="M53" s="11">
        <f>IF(J53="Paid","Paid",IF(L53=0,"Not Due",IF(L53&lt;=30,"1-30 Days",IF(L53&lt;=60,"31-60 Days",IF(L53&lt;=90,"61-90 Days","90+ Days")))))</f>
        <v/>
      </c>
    </row>
    <row r="54">
      <c r="A54" s="11" t="inlineStr">
        <is>
          <t>INV-2026-0053</t>
        </is>
      </c>
      <c r="B54" s="11" t="inlineStr">
        <is>
          <t>V1006</t>
        </is>
      </c>
      <c r="C54" s="11" t="inlineStr">
        <is>
          <t>Fairview Logistics</t>
        </is>
      </c>
      <c r="D54" s="11" t="inlineStr">
        <is>
          <t>Non-PO</t>
        </is>
      </c>
      <c r="E54" s="11" t="inlineStr"/>
      <c r="F54" s="11" t="inlineStr"/>
      <c r="G54" s="12" t="n">
        <v>46197</v>
      </c>
      <c r="H54" s="12" t="n">
        <v>46212</v>
      </c>
      <c r="I54" s="13" t="n">
        <v>116225.86</v>
      </c>
      <c r="J54" s="11" t="inlineStr">
        <is>
          <t>Paid</t>
        </is>
      </c>
      <c r="K54" s="11" t="inlineStr"/>
      <c r="L54" s="14">
        <f>IF(OR(J54="Paid",H54&gt;=TODAY()),0,TODAY()-H54)</f>
        <v/>
      </c>
      <c r="M54" s="11">
        <f>IF(J54="Paid","Paid",IF(L54=0,"Not Due",IF(L54&lt;=30,"1-30 Days",IF(L54&lt;=60,"31-60 Days",IF(L54&lt;=90,"61-90 Days","90+ Days")))))</f>
        <v/>
      </c>
    </row>
    <row r="55">
      <c r="A55" s="11" t="inlineStr">
        <is>
          <t>INV-2026-0054</t>
        </is>
      </c>
      <c r="B55" s="11" t="inlineStr">
        <is>
          <t>V1002</t>
        </is>
      </c>
      <c r="C55" s="11" t="inlineStr">
        <is>
          <t>BluePeak Services</t>
        </is>
      </c>
      <c r="D55" s="11" t="inlineStr">
        <is>
          <t>PO-Based</t>
        </is>
      </c>
      <c r="E55" s="11" t="inlineStr">
        <is>
          <t>4584411983</t>
        </is>
      </c>
      <c r="F55" s="11" t="inlineStr"/>
      <c r="G55" s="12" t="n">
        <v>46231</v>
      </c>
      <c r="H55" s="12" t="n">
        <v>46276</v>
      </c>
      <c r="I55" s="13" t="n">
        <v>129740.54</v>
      </c>
      <c r="J55" s="11" t="inlineStr">
        <is>
          <t>Open</t>
        </is>
      </c>
      <c r="K55" s="11" t="inlineStr"/>
      <c r="L55" s="14">
        <f>IF(OR(J55="Paid",H55&gt;=TODAY()),0,TODAY()-H55)</f>
        <v/>
      </c>
      <c r="M55" s="11">
        <f>IF(J55="Paid","Paid",IF(L55=0,"Not Due",IF(L55&lt;=30,"1-30 Days",IF(L55&lt;=60,"31-60 Days",IF(L55&lt;=90,"61-90 Days","90+ Days")))))</f>
        <v/>
      </c>
    </row>
    <row r="56">
      <c r="A56" s="11" t="inlineStr">
        <is>
          <t>INV-2026-0055</t>
        </is>
      </c>
      <c r="B56" s="11" t="inlineStr">
        <is>
          <t>V1007</t>
        </is>
      </c>
      <c r="C56" s="11" t="inlineStr">
        <is>
          <t>Granite Packaging</t>
        </is>
      </c>
      <c r="D56" s="11" t="inlineStr">
        <is>
          <t>PO-Based</t>
        </is>
      </c>
      <c r="E56" s="11" t="inlineStr">
        <is>
          <t>4510054484</t>
        </is>
      </c>
      <c r="F56" s="11" t="inlineStr">
        <is>
          <t>4938210242</t>
        </is>
      </c>
      <c r="G56" s="12" t="n">
        <v>46210</v>
      </c>
      <c r="H56" s="12" t="n">
        <v>46240</v>
      </c>
      <c r="I56" s="13" t="n">
        <v>102498.54</v>
      </c>
      <c r="J56" s="11" t="inlineStr">
        <is>
          <t>Open</t>
        </is>
      </c>
      <c r="K56" s="11" t="inlineStr"/>
      <c r="L56" s="14">
        <f>IF(OR(J56="Paid",H56&gt;=TODAY()),0,TODAY()-H56)</f>
        <v/>
      </c>
      <c r="M56" s="11">
        <f>IF(J56="Paid","Paid",IF(L56=0,"Not Due",IF(L56&lt;=30,"1-30 Days",IF(L56&lt;=60,"31-60 Days",IF(L56&lt;=90,"61-90 Days","90+ Days")))))</f>
        <v/>
      </c>
    </row>
    <row r="57">
      <c r="A57" s="11" t="inlineStr">
        <is>
          <t>INV-2026-0056</t>
        </is>
      </c>
      <c r="B57" s="11" t="inlineStr">
        <is>
          <t>V1007</t>
        </is>
      </c>
      <c r="C57" s="11" t="inlineStr">
        <is>
          <t>Granite Packaging</t>
        </is>
      </c>
      <c r="D57" s="11" t="inlineStr">
        <is>
          <t>PO-Based</t>
        </is>
      </c>
      <c r="E57" s="11" t="inlineStr">
        <is>
          <t>4532775593</t>
        </is>
      </c>
      <c r="F57" s="11" t="inlineStr">
        <is>
          <t>4948089166</t>
        </is>
      </c>
      <c r="G57" s="12" t="n">
        <v>46225</v>
      </c>
      <c r="H57" s="12" t="n">
        <v>46285</v>
      </c>
      <c r="I57" s="13" t="n">
        <v>95789.25</v>
      </c>
      <c r="J57" s="11" t="inlineStr">
        <is>
          <t>Paid</t>
        </is>
      </c>
      <c r="K57" s="11" t="inlineStr"/>
      <c r="L57" s="14">
        <f>IF(OR(J57="Paid",H57&gt;=TODAY()),0,TODAY()-H57)</f>
        <v/>
      </c>
      <c r="M57" s="11">
        <f>IF(J57="Paid","Paid",IF(L57=0,"Not Due",IF(L57&lt;=30,"1-30 Days",IF(L57&lt;=60,"31-60 Days",IF(L57&lt;=90,"61-90 Days","90+ Days")))))</f>
        <v/>
      </c>
    </row>
    <row r="58">
      <c r="A58" s="11" t="inlineStr">
        <is>
          <t>INV-2026-0057</t>
        </is>
      </c>
      <c r="B58" s="11" t="inlineStr">
        <is>
          <t>V1009</t>
        </is>
      </c>
      <c r="C58" s="11" t="inlineStr">
        <is>
          <t>Indigo Consulting</t>
        </is>
      </c>
      <c r="D58" s="11" t="inlineStr">
        <is>
          <t>Non-PO</t>
        </is>
      </c>
      <c r="E58" s="11" t="inlineStr"/>
      <c r="F58" s="11" t="inlineStr"/>
      <c r="G58" s="12" t="n">
        <v>46222</v>
      </c>
      <c r="H58" s="12" t="n">
        <v>46237</v>
      </c>
      <c r="I58" s="13" t="n">
        <v>125285.21</v>
      </c>
      <c r="J58" s="11" t="inlineStr">
        <is>
          <t>Paid</t>
        </is>
      </c>
      <c r="K58" s="11" t="inlineStr"/>
      <c r="L58" s="14">
        <f>IF(OR(J58="Paid",H58&gt;=TODAY()),0,TODAY()-H58)</f>
        <v/>
      </c>
      <c r="M58" s="11">
        <f>IF(J58="Paid","Paid",IF(L58=0,"Not Due",IF(L58&lt;=30,"1-30 Days",IF(L58&lt;=60,"31-60 Days",IF(L58&lt;=90,"61-90 Days","90+ Days")))))</f>
        <v/>
      </c>
    </row>
    <row r="59">
      <c r="A59" s="11" t="inlineStr">
        <is>
          <t>INV-2026-0058</t>
        </is>
      </c>
      <c r="B59" s="11" t="inlineStr">
        <is>
          <t>V1004</t>
        </is>
      </c>
      <c r="C59" s="11" t="inlineStr">
        <is>
          <t>Delta Facilities</t>
        </is>
      </c>
      <c r="D59" s="11" t="inlineStr">
        <is>
          <t>PO-Based</t>
        </is>
      </c>
      <c r="E59" s="11" t="inlineStr">
        <is>
          <t>4519774839</t>
        </is>
      </c>
      <c r="F59" s="11" t="inlineStr">
        <is>
          <t>4994525678</t>
        </is>
      </c>
      <c r="G59" s="12" t="n">
        <v>46257</v>
      </c>
      <c r="H59" s="12" t="n">
        <v>46287</v>
      </c>
      <c r="I59" s="13" t="n">
        <v>89212.38</v>
      </c>
      <c r="J59" s="11" t="inlineStr">
        <is>
          <t>Open</t>
        </is>
      </c>
      <c r="K59" s="11" t="inlineStr"/>
      <c r="L59" s="14">
        <f>IF(OR(J59="Paid",H59&gt;=TODAY()),0,TODAY()-H59)</f>
        <v/>
      </c>
      <c r="M59" s="11">
        <f>IF(J59="Paid","Paid",IF(L59=0,"Not Due",IF(L59&lt;=30,"1-30 Days",IF(L59&lt;=60,"31-60 Days",IF(L59&lt;=90,"61-90 Days","90+ Days")))))</f>
        <v/>
      </c>
    </row>
    <row r="60">
      <c r="A60" s="11" t="inlineStr">
        <is>
          <t>INV-2026-0059</t>
        </is>
      </c>
      <c r="B60" s="11" t="inlineStr">
        <is>
          <t>V1010</t>
        </is>
      </c>
      <c r="C60" s="11" t="inlineStr">
        <is>
          <t>Juniper Components</t>
        </is>
      </c>
      <c r="D60" s="11" t="inlineStr">
        <is>
          <t>PO-Based</t>
        </is>
      </c>
      <c r="E60" s="11" t="inlineStr">
        <is>
          <t>4510744212</t>
        </is>
      </c>
      <c r="F60" s="11" t="inlineStr">
        <is>
          <t>4924305904</t>
        </is>
      </c>
      <c r="G60" s="12" t="n">
        <v>46258</v>
      </c>
      <c r="H60" s="12" t="n">
        <v>46318</v>
      </c>
      <c r="I60" s="13" t="n">
        <v>122230.59</v>
      </c>
      <c r="J60" s="11" t="inlineStr">
        <is>
          <t>Open</t>
        </is>
      </c>
      <c r="K60" s="11" t="inlineStr"/>
      <c r="L60" s="14">
        <f>IF(OR(J60="Paid",H60&gt;=TODAY()),0,TODAY()-H60)</f>
        <v/>
      </c>
      <c r="M60" s="11">
        <f>IF(J60="Paid","Paid",IF(L60=0,"Not Due",IF(L60&lt;=30,"1-30 Days",IF(L60&lt;=60,"31-60 Days",IF(L60&lt;=90,"61-90 Days","90+ Days")))))</f>
        <v/>
      </c>
    </row>
    <row r="61">
      <c r="A61" s="11" t="inlineStr">
        <is>
          <t>INV-2026-0060</t>
        </is>
      </c>
      <c r="B61" s="11" t="inlineStr">
        <is>
          <t>V1007</t>
        </is>
      </c>
      <c r="C61" s="11" t="inlineStr">
        <is>
          <t>Granite Packaging</t>
        </is>
      </c>
      <c r="D61" s="11" t="inlineStr">
        <is>
          <t>Non-PO</t>
        </is>
      </c>
      <c r="E61" s="11" t="inlineStr"/>
      <c r="F61" s="11" t="inlineStr"/>
      <c r="G61" s="12" t="n">
        <v>46251</v>
      </c>
      <c r="H61" s="12" t="n">
        <v>46281</v>
      </c>
      <c r="I61" s="13" t="n">
        <v>87280.35000000001</v>
      </c>
      <c r="J61" s="11" t="inlineStr">
        <is>
          <t>Paid</t>
        </is>
      </c>
      <c r="K61" s="11" t="inlineStr"/>
      <c r="L61" s="14">
        <f>IF(OR(J61="Paid",H61&gt;=TODAY()),0,TODAY()-H61)</f>
        <v/>
      </c>
      <c r="M61" s="11">
        <f>IF(J61="Paid","Paid",IF(L61=0,"Not Due",IF(L61&lt;=30,"1-30 Days",IF(L61&lt;=60,"31-60 Days",IF(L61&lt;=90,"61-90 Days","90+ Days")))))</f>
        <v/>
      </c>
    </row>
    <row r="62">
      <c r="A62" s="11" t="inlineStr">
        <is>
          <t>INV-2026-0061</t>
        </is>
      </c>
      <c r="B62" s="11" t="inlineStr">
        <is>
          <t>V1009</t>
        </is>
      </c>
      <c r="C62" s="11" t="inlineStr">
        <is>
          <t>Indigo Consulting</t>
        </is>
      </c>
      <c r="D62" s="11" t="inlineStr">
        <is>
          <t>PO-Based</t>
        </is>
      </c>
      <c r="E62" s="11" t="inlineStr">
        <is>
          <t>4585017682</t>
        </is>
      </c>
      <c r="F62" s="11" t="inlineStr">
        <is>
          <t>4969401199</t>
        </is>
      </c>
      <c r="G62" s="12" t="n">
        <v>46244</v>
      </c>
      <c r="H62" s="12" t="n">
        <v>46259</v>
      </c>
      <c r="I62" s="13" t="n">
        <v>124332.94</v>
      </c>
      <c r="J62" s="11" t="inlineStr">
        <is>
          <t>Paid</t>
        </is>
      </c>
      <c r="K62" s="11" t="inlineStr"/>
      <c r="L62" s="14">
        <f>IF(OR(J62="Paid",H62&gt;=TODAY()),0,TODAY()-H62)</f>
        <v/>
      </c>
      <c r="M62" s="11">
        <f>IF(J62="Paid","Paid",IF(L62=0,"Not Due",IF(L62&lt;=30,"1-30 Days",IF(L62&lt;=60,"31-60 Days",IF(L62&lt;=90,"61-90 Days","90+ Days")))))</f>
        <v/>
      </c>
    </row>
    <row r="63">
      <c r="A63" s="11" t="inlineStr">
        <is>
          <t>INV-2026-0062</t>
        </is>
      </c>
      <c r="B63" s="11" t="inlineStr">
        <is>
          <t>V1010</t>
        </is>
      </c>
      <c r="C63" s="11" t="inlineStr">
        <is>
          <t>Juniper Components</t>
        </is>
      </c>
      <c r="D63" s="11" t="inlineStr">
        <is>
          <t>Non-PO</t>
        </is>
      </c>
      <c r="E63" s="11" t="inlineStr"/>
      <c r="F63" s="11" t="inlineStr"/>
      <c r="G63" s="12" t="n">
        <v>46178</v>
      </c>
      <c r="H63" s="12" t="n">
        <v>46238</v>
      </c>
      <c r="I63" s="13" t="n">
        <v>166240.48</v>
      </c>
      <c r="J63" s="11" t="inlineStr">
        <is>
          <t>Blocked</t>
        </is>
      </c>
      <c r="K63" s="11" t="inlineStr">
        <is>
          <t>Quantity variance</t>
        </is>
      </c>
      <c r="L63" s="14">
        <f>IF(OR(J63="Paid",H63&gt;=TODAY()),0,TODAY()-H63)</f>
        <v/>
      </c>
      <c r="M63" s="11">
        <f>IF(J63="Paid","Paid",IF(L63=0,"Not Due",IF(L63&lt;=30,"1-30 Days",IF(L63&lt;=60,"31-60 Days",IF(L63&lt;=90,"61-90 Days","90+ Days")))))</f>
        <v/>
      </c>
    </row>
    <row r="64">
      <c r="A64" s="11" t="inlineStr">
        <is>
          <t>INV-2026-0063</t>
        </is>
      </c>
      <c r="B64" s="11" t="inlineStr">
        <is>
          <t>V1008</t>
        </is>
      </c>
      <c r="C64" s="11" t="inlineStr">
        <is>
          <t>Harbor Utilities</t>
        </is>
      </c>
      <c r="D64" s="11" t="inlineStr">
        <is>
          <t>Non-PO</t>
        </is>
      </c>
      <c r="E64" s="11" t="inlineStr"/>
      <c r="F64" s="11" t="inlineStr"/>
      <c r="G64" s="12" t="n">
        <v>46192</v>
      </c>
      <c r="H64" s="12" t="n">
        <v>46237</v>
      </c>
      <c r="I64" s="13" t="n">
        <v>53109.32</v>
      </c>
      <c r="J64" s="11" t="inlineStr">
        <is>
          <t>Paid</t>
        </is>
      </c>
      <c r="K64" s="11" t="inlineStr"/>
      <c r="L64" s="14">
        <f>IF(OR(J64="Paid",H64&gt;=TODAY()),0,TODAY()-H64)</f>
        <v/>
      </c>
      <c r="M64" s="11">
        <f>IF(J64="Paid","Paid",IF(L64=0,"Not Due",IF(L64&lt;=30,"1-30 Days",IF(L64&lt;=60,"31-60 Days",IF(L64&lt;=90,"61-90 Days","90+ Days")))))</f>
        <v/>
      </c>
    </row>
    <row r="65">
      <c r="A65" s="11" t="inlineStr">
        <is>
          <t>INV-2026-0064</t>
        </is>
      </c>
      <c r="B65" s="11" t="inlineStr">
        <is>
          <t>V1009</t>
        </is>
      </c>
      <c r="C65" s="11" t="inlineStr">
        <is>
          <t>Indigo Consulting</t>
        </is>
      </c>
      <c r="D65" s="11" t="inlineStr">
        <is>
          <t>PO-Based</t>
        </is>
      </c>
      <c r="E65" s="11" t="inlineStr">
        <is>
          <t>4546468984</t>
        </is>
      </c>
      <c r="F65" s="11" t="inlineStr">
        <is>
          <t>4982498004</t>
        </is>
      </c>
      <c r="G65" s="12" t="n">
        <v>46183</v>
      </c>
      <c r="H65" s="12" t="n">
        <v>46213</v>
      </c>
      <c r="I65" s="13" t="n">
        <v>54645.39</v>
      </c>
      <c r="J65" s="11" t="inlineStr">
        <is>
          <t>Open</t>
        </is>
      </c>
      <c r="K65" s="11" t="inlineStr"/>
      <c r="L65" s="14">
        <f>IF(OR(J65="Paid",H65&gt;=TODAY()),0,TODAY()-H65)</f>
        <v/>
      </c>
      <c r="M65" s="11">
        <f>IF(J65="Paid","Paid",IF(L65=0,"Not Due",IF(L65&lt;=30,"1-30 Days",IF(L65&lt;=60,"31-60 Days",IF(L65&lt;=90,"61-90 Days","90+ Days")))))</f>
        <v/>
      </c>
    </row>
    <row r="66">
      <c r="A66" s="11" t="inlineStr">
        <is>
          <t>INV-2026-0065</t>
        </is>
      </c>
      <c r="B66" s="11" t="inlineStr">
        <is>
          <t>V1002</t>
        </is>
      </c>
      <c r="C66" s="11" t="inlineStr">
        <is>
          <t>BluePeak Services</t>
        </is>
      </c>
      <c r="D66" s="11" t="inlineStr">
        <is>
          <t>PO-Based</t>
        </is>
      </c>
      <c r="E66" s="11" t="inlineStr">
        <is>
          <t>4518620650</t>
        </is>
      </c>
      <c r="F66" s="11" t="inlineStr">
        <is>
          <t>4954410148</t>
        </is>
      </c>
      <c r="G66" s="12" t="n">
        <v>46272</v>
      </c>
      <c r="H66" s="12" t="n">
        <v>46302</v>
      </c>
      <c r="I66" s="13" t="n">
        <v>131421.49</v>
      </c>
      <c r="J66" s="11" t="inlineStr">
        <is>
          <t>Paid</t>
        </is>
      </c>
      <c r="K66" s="11" t="inlineStr"/>
      <c r="L66" s="14">
        <f>IF(OR(J66="Paid",H66&gt;=TODAY()),0,TODAY()-H66)</f>
        <v/>
      </c>
      <c r="M66" s="11">
        <f>IF(J66="Paid","Paid",IF(L66=0,"Not Due",IF(L66&lt;=30,"1-30 Days",IF(L66&lt;=60,"31-60 Days",IF(L66&lt;=90,"61-90 Days","90+ Days")))))</f>
        <v/>
      </c>
    </row>
    <row r="67">
      <c r="A67" s="11" t="inlineStr">
        <is>
          <t>INV-2026-0066</t>
        </is>
      </c>
      <c r="B67" s="11" t="inlineStr">
        <is>
          <t>V1009</t>
        </is>
      </c>
      <c r="C67" s="11" t="inlineStr">
        <is>
          <t>Indigo Consulting</t>
        </is>
      </c>
      <c r="D67" s="11" t="inlineStr">
        <is>
          <t>PO-Based</t>
        </is>
      </c>
      <c r="E67" s="11" t="inlineStr">
        <is>
          <t>4588393811</t>
        </is>
      </c>
      <c r="F67" s="11" t="inlineStr">
        <is>
          <t>4912621534</t>
        </is>
      </c>
      <c r="G67" s="12" t="n">
        <v>46188</v>
      </c>
      <c r="H67" s="12" t="n">
        <v>46248</v>
      </c>
      <c r="I67" s="13" t="n">
        <v>73579.52</v>
      </c>
      <c r="J67" s="11" t="inlineStr">
        <is>
          <t>Paid</t>
        </is>
      </c>
      <c r="K67" s="11" t="inlineStr"/>
      <c r="L67" s="14">
        <f>IF(OR(J67="Paid",H67&gt;=TODAY()),0,TODAY()-H67)</f>
        <v/>
      </c>
      <c r="M67" s="11">
        <f>IF(J67="Paid","Paid",IF(L67=0,"Not Due",IF(L67&lt;=30,"1-30 Days",IF(L67&lt;=60,"31-60 Days",IF(L67&lt;=90,"61-90 Days","90+ Days")))))</f>
        <v/>
      </c>
    </row>
    <row r="68">
      <c r="A68" s="11" t="inlineStr">
        <is>
          <t>INV-2026-0067</t>
        </is>
      </c>
      <c r="B68" s="11" t="inlineStr">
        <is>
          <t>V1010</t>
        </is>
      </c>
      <c r="C68" s="11" t="inlineStr">
        <is>
          <t>Juniper Components</t>
        </is>
      </c>
      <c r="D68" s="11" t="inlineStr">
        <is>
          <t>PO-Based</t>
        </is>
      </c>
      <c r="E68" s="11" t="inlineStr">
        <is>
          <t>4566240084</t>
        </is>
      </c>
      <c r="F68" s="11" t="inlineStr">
        <is>
          <t>4983300637</t>
        </is>
      </c>
      <c r="G68" s="12" t="n">
        <v>46210</v>
      </c>
      <c r="H68" s="12" t="n">
        <v>46270</v>
      </c>
      <c r="I68" s="13" t="n">
        <v>140009.21</v>
      </c>
      <c r="J68" s="11" t="inlineStr">
        <is>
          <t>Open</t>
        </is>
      </c>
      <c r="K68" s="11" t="inlineStr"/>
      <c r="L68" s="14">
        <f>IF(OR(J68="Paid",H68&gt;=TODAY()),0,TODAY()-H68)</f>
        <v/>
      </c>
      <c r="M68" s="11">
        <f>IF(J68="Paid","Paid",IF(L68=0,"Not Due",IF(L68&lt;=30,"1-30 Days",IF(L68&lt;=60,"31-60 Days",IF(L68&lt;=90,"61-90 Days","90+ Days")))))</f>
        <v/>
      </c>
    </row>
    <row r="69">
      <c r="A69" s="11" t="inlineStr">
        <is>
          <t>INV-2026-0068</t>
        </is>
      </c>
      <c r="B69" s="11" t="inlineStr">
        <is>
          <t>V1010</t>
        </is>
      </c>
      <c r="C69" s="11" t="inlineStr">
        <is>
          <t>Juniper Components</t>
        </is>
      </c>
      <c r="D69" s="11" t="inlineStr">
        <is>
          <t>PO-Based</t>
        </is>
      </c>
      <c r="E69" s="11" t="inlineStr">
        <is>
          <t>4555114543</t>
        </is>
      </c>
      <c r="F69" s="11" t="inlineStr">
        <is>
          <t>4964266464</t>
        </is>
      </c>
      <c r="G69" s="12" t="n">
        <v>46251</v>
      </c>
      <c r="H69" s="12" t="n">
        <v>46311</v>
      </c>
      <c r="I69" s="13" t="n">
        <v>7797.03</v>
      </c>
      <c r="J69" s="11" t="inlineStr">
        <is>
          <t>Open</t>
        </is>
      </c>
      <c r="K69" s="11" t="inlineStr"/>
      <c r="L69" s="14">
        <f>IF(OR(J69="Paid",H69&gt;=TODAY()),0,TODAY()-H69)</f>
        <v/>
      </c>
      <c r="M69" s="11">
        <f>IF(J69="Paid","Paid",IF(L69=0,"Not Due",IF(L69&lt;=30,"1-30 Days",IF(L69&lt;=60,"31-60 Days",IF(L69&lt;=90,"61-90 Days","90+ Days")))))</f>
        <v/>
      </c>
    </row>
    <row r="70">
      <c r="A70" s="11" t="inlineStr">
        <is>
          <t>INV-2026-0069</t>
        </is>
      </c>
      <c r="B70" s="11" t="inlineStr">
        <is>
          <t>V1003</t>
        </is>
      </c>
      <c r="C70" s="11" t="inlineStr">
        <is>
          <t>Cedar Industrial</t>
        </is>
      </c>
      <c r="D70" s="11" t="inlineStr">
        <is>
          <t>Non-PO</t>
        </is>
      </c>
      <c r="E70" s="11" t="inlineStr"/>
      <c r="F70" s="11" t="inlineStr"/>
      <c r="G70" s="12" t="n">
        <v>46188</v>
      </c>
      <c r="H70" s="12" t="n">
        <v>46218</v>
      </c>
      <c r="I70" s="13" t="n">
        <v>168014.52</v>
      </c>
      <c r="J70" s="11" t="inlineStr">
        <is>
          <t>Blocked</t>
        </is>
      </c>
      <c r="K70" s="11" t="inlineStr">
        <is>
          <t>Missing documentation</t>
        </is>
      </c>
      <c r="L70" s="14">
        <f>IF(OR(J70="Paid",H70&gt;=TODAY()),0,TODAY()-H70)</f>
        <v/>
      </c>
      <c r="M70" s="11">
        <f>IF(J70="Paid","Paid",IF(L70=0,"Not Due",IF(L70&lt;=30,"1-30 Days",IF(L70&lt;=60,"31-60 Days",IF(L70&lt;=90,"61-90 Days","90+ Days")))))</f>
        <v/>
      </c>
    </row>
    <row r="71">
      <c r="A71" s="11" t="inlineStr">
        <is>
          <t>INV-2026-0070</t>
        </is>
      </c>
      <c r="B71" s="11" t="inlineStr">
        <is>
          <t>V1010</t>
        </is>
      </c>
      <c r="C71" s="11" t="inlineStr">
        <is>
          <t>Juniper Components</t>
        </is>
      </c>
      <c r="D71" s="11" t="inlineStr">
        <is>
          <t>PO-Based</t>
        </is>
      </c>
      <c r="E71" s="11" t="inlineStr">
        <is>
          <t>4516749089</t>
        </is>
      </c>
      <c r="F71" s="11" t="inlineStr">
        <is>
          <t>4953936531</t>
        </is>
      </c>
      <c r="G71" s="12" t="n">
        <v>46301</v>
      </c>
      <c r="H71" s="12" t="n">
        <v>46316</v>
      </c>
      <c r="I71" s="13" t="n">
        <v>86759.97</v>
      </c>
      <c r="J71" s="11" t="inlineStr">
        <is>
          <t>Open</t>
        </is>
      </c>
      <c r="K71" s="11" t="inlineStr"/>
      <c r="L71" s="14">
        <f>IF(OR(J71="Paid",H71&gt;=TODAY()),0,TODAY()-H71)</f>
        <v/>
      </c>
      <c r="M71" s="11">
        <f>IF(J71="Paid","Paid",IF(L71=0,"Not Due",IF(L71&lt;=30,"1-30 Days",IF(L71&lt;=60,"31-60 Days",IF(L71&lt;=90,"61-90 Days","90+ Days")))))</f>
        <v/>
      </c>
    </row>
    <row r="72">
      <c r="A72" s="11" t="inlineStr">
        <is>
          <t>INV-2026-0071</t>
        </is>
      </c>
      <c r="B72" s="11" t="inlineStr">
        <is>
          <t>V1004</t>
        </is>
      </c>
      <c r="C72" s="11" t="inlineStr">
        <is>
          <t>Delta Facilities</t>
        </is>
      </c>
      <c r="D72" s="11" t="inlineStr">
        <is>
          <t>PO-Based</t>
        </is>
      </c>
      <c r="E72" s="11" t="inlineStr">
        <is>
          <t>4566581473</t>
        </is>
      </c>
      <c r="F72" s="11" t="inlineStr">
        <is>
          <t>4920993268</t>
        </is>
      </c>
      <c r="G72" s="12" t="n">
        <v>46191</v>
      </c>
      <c r="H72" s="12" t="n">
        <v>46236</v>
      </c>
      <c r="I72" s="13" t="n">
        <v>53281.83</v>
      </c>
      <c r="J72" s="11" t="inlineStr">
        <is>
          <t>Paid</t>
        </is>
      </c>
      <c r="K72" s="11" t="inlineStr"/>
      <c r="L72" s="14">
        <f>IF(OR(J72="Paid",H72&gt;=TODAY()),0,TODAY()-H72)</f>
        <v/>
      </c>
      <c r="M72" s="11">
        <f>IF(J72="Paid","Paid",IF(L72=0,"Not Due",IF(L72&lt;=30,"1-30 Days",IF(L72&lt;=60,"31-60 Days",IF(L72&lt;=90,"61-90 Days","90+ Days")))))</f>
        <v/>
      </c>
    </row>
    <row r="73">
      <c r="A73" s="11" t="inlineStr">
        <is>
          <t>INV-2026-0072</t>
        </is>
      </c>
      <c r="B73" s="11" t="inlineStr">
        <is>
          <t>V1008</t>
        </is>
      </c>
      <c r="C73" s="11" t="inlineStr">
        <is>
          <t>Harbor Utilities</t>
        </is>
      </c>
      <c r="D73" s="11" t="inlineStr">
        <is>
          <t>Non-PO</t>
        </is>
      </c>
      <c r="E73" s="11" t="inlineStr"/>
      <c r="F73" s="11" t="inlineStr"/>
      <c r="G73" s="12" t="n">
        <v>46303</v>
      </c>
      <c r="H73" s="12" t="n">
        <v>46318</v>
      </c>
      <c r="I73" s="13" t="n">
        <v>121151.3</v>
      </c>
      <c r="J73" s="11" t="inlineStr">
        <is>
          <t>Open</t>
        </is>
      </c>
      <c r="K73" s="11" t="inlineStr"/>
      <c r="L73" s="14">
        <f>IF(OR(J73="Paid",H73&gt;=TODAY()),0,TODAY()-H73)</f>
        <v/>
      </c>
      <c r="M73" s="11">
        <f>IF(J73="Paid","Paid",IF(L73=0,"Not Due",IF(L73&lt;=30,"1-30 Days",IF(L73&lt;=60,"31-60 Days",IF(L73&lt;=90,"61-90 Days","90+ Days")))))</f>
        <v/>
      </c>
    </row>
    <row r="74">
      <c r="A74" s="11" t="inlineStr">
        <is>
          <t>INV-2026-0073</t>
        </is>
      </c>
      <c r="B74" s="11" t="inlineStr">
        <is>
          <t>V1001</t>
        </is>
      </c>
      <c r="C74" s="11" t="inlineStr">
        <is>
          <t>Aster Office Supplies</t>
        </is>
      </c>
      <c r="D74" s="11" t="inlineStr">
        <is>
          <t>PO-Based</t>
        </is>
      </c>
      <c r="E74" s="11" t="inlineStr">
        <is>
          <t>4526941092</t>
        </is>
      </c>
      <c r="F74" s="11" t="inlineStr">
        <is>
          <t>4925353091</t>
        </is>
      </c>
      <c r="G74" s="12" t="n">
        <v>46300</v>
      </c>
      <c r="H74" s="12" t="n">
        <v>46330</v>
      </c>
      <c r="I74" s="13" t="n">
        <v>30309.78</v>
      </c>
      <c r="J74" s="11" t="inlineStr">
        <is>
          <t>Open</t>
        </is>
      </c>
      <c r="K74" s="11" t="inlineStr"/>
      <c r="L74" s="14">
        <f>IF(OR(J74="Paid",H74&gt;=TODAY()),0,TODAY()-H74)</f>
        <v/>
      </c>
      <c r="M74" s="11">
        <f>IF(J74="Paid","Paid",IF(L74=0,"Not Due",IF(L74&lt;=30,"1-30 Days",IF(L74&lt;=60,"31-60 Days",IF(L74&lt;=90,"61-90 Days","90+ Days")))))</f>
        <v/>
      </c>
    </row>
    <row r="75">
      <c r="A75" s="11" t="inlineStr">
        <is>
          <t>INV-2026-0074</t>
        </is>
      </c>
      <c r="B75" s="11" t="inlineStr">
        <is>
          <t>V1010</t>
        </is>
      </c>
      <c r="C75" s="11" t="inlineStr">
        <is>
          <t>Juniper Components</t>
        </is>
      </c>
      <c r="D75" s="11" t="inlineStr">
        <is>
          <t>PO-Based</t>
        </is>
      </c>
      <c r="E75" s="11" t="inlineStr">
        <is>
          <t>4591503378</t>
        </is>
      </c>
      <c r="F75" s="11" t="inlineStr">
        <is>
          <t>4925372341</t>
        </is>
      </c>
      <c r="G75" s="12" t="n">
        <v>46252</v>
      </c>
      <c r="H75" s="12" t="n">
        <v>46312</v>
      </c>
      <c r="I75" s="13" t="n">
        <v>33121.52</v>
      </c>
      <c r="J75" s="11" t="inlineStr">
        <is>
          <t>Paid</t>
        </is>
      </c>
      <c r="K75" s="11" t="inlineStr"/>
      <c r="L75" s="14">
        <f>IF(OR(J75="Paid",H75&gt;=TODAY()),0,TODAY()-H75)</f>
        <v/>
      </c>
      <c r="M75" s="11">
        <f>IF(J75="Paid","Paid",IF(L75=0,"Not Due",IF(L75&lt;=30,"1-30 Days",IF(L75&lt;=60,"31-60 Days",IF(L75&lt;=90,"61-90 Days","90+ Days")))))</f>
        <v/>
      </c>
    </row>
    <row r="76">
      <c r="A76" s="11" t="inlineStr">
        <is>
          <t>INV-2026-0075</t>
        </is>
      </c>
      <c r="B76" s="11" t="inlineStr">
        <is>
          <t>V1003</t>
        </is>
      </c>
      <c r="C76" s="11" t="inlineStr">
        <is>
          <t>Cedar Industrial</t>
        </is>
      </c>
      <c r="D76" s="11" t="inlineStr">
        <is>
          <t>PO-Based</t>
        </is>
      </c>
      <c r="E76" s="11" t="inlineStr">
        <is>
          <t>4560372847</t>
        </is>
      </c>
      <c r="F76" s="11" t="inlineStr">
        <is>
          <t>4936619372</t>
        </is>
      </c>
      <c r="G76" s="12" t="n">
        <v>46228</v>
      </c>
      <c r="H76" s="12" t="n">
        <v>46243</v>
      </c>
      <c r="I76" s="13" t="n">
        <v>107582.9</v>
      </c>
      <c r="J76" s="11" t="inlineStr">
        <is>
          <t>Paid</t>
        </is>
      </c>
      <c r="K76" s="11" t="inlineStr"/>
      <c r="L76" s="14">
        <f>IF(OR(J76="Paid",H76&gt;=TODAY()),0,TODAY()-H76)</f>
        <v/>
      </c>
      <c r="M76" s="11">
        <f>IF(J76="Paid","Paid",IF(L76=0,"Not Due",IF(L76&lt;=30,"1-30 Days",IF(L76&lt;=60,"31-60 Days",IF(L76&lt;=90,"61-90 Days","90+ Days")))))</f>
        <v/>
      </c>
    </row>
    <row r="77">
      <c r="A77" s="11" t="inlineStr">
        <is>
          <t>INV-2026-0076</t>
        </is>
      </c>
      <c r="B77" s="11" t="inlineStr">
        <is>
          <t>V1002</t>
        </is>
      </c>
      <c r="C77" s="11" t="inlineStr">
        <is>
          <t>BluePeak Services</t>
        </is>
      </c>
      <c r="D77" s="11" t="inlineStr">
        <is>
          <t>PO-Based</t>
        </is>
      </c>
      <c r="E77" s="11" t="inlineStr">
        <is>
          <t>4526247735</t>
        </is>
      </c>
      <c r="F77" s="11" t="inlineStr">
        <is>
          <t>4985958181</t>
        </is>
      </c>
      <c r="G77" s="12" t="n">
        <v>46245</v>
      </c>
      <c r="H77" s="12" t="n">
        <v>46260</v>
      </c>
      <c r="I77" s="13" t="n">
        <v>127377.27</v>
      </c>
      <c r="J77" s="11" t="inlineStr">
        <is>
          <t>Open</t>
        </is>
      </c>
      <c r="K77" s="11" t="inlineStr"/>
      <c r="L77" s="14">
        <f>IF(OR(J77="Paid",H77&gt;=TODAY()),0,TODAY()-H77)</f>
        <v/>
      </c>
      <c r="M77" s="11">
        <f>IF(J77="Paid","Paid",IF(L77=0,"Not Due",IF(L77&lt;=30,"1-30 Days",IF(L77&lt;=60,"31-60 Days",IF(L77&lt;=90,"61-90 Days","90+ Days")))))</f>
        <v/>
      </c>
    </row>
    <row r="78">
      <c r="A78" s="11" t="inlineStr">
        <is>
          <t>INV-2026-0077</t>
        </is>
      </c>
      <c r="B78" s="11" t="inlineStr">
        <is>
          <t>V1001</t>
        </is>
      </c>
      <c r="C78" s="11" t="inlineStr">
        <is>
          <t>Aster Office Supplies</t>
        </is>
      </c>
      <c r="D78" s="11" t="inlineStr">
        <is>
          <t>PO-Based</t>
        </is>
      </c>
      <c r="E78" s="11" t="inlineStr">
        <is>
          <t>4511698142</t>
        </is>
      </c>
      <c r="F78" s="11" t="inlineStr">
        <is>
          <t>4975793759</t>
        </is>
      </c>
      <c r="G78" s="12" t="n">
        <v>46219</v>
      </c>
      <c r="H78" s="12" t="n">
        <v>46279</v>
      </c>
      <c r="I78" s="13" t="n">
        <v>120676.64</v>
      </c>
      <c r="J78" s="11" t="inlineStr">
        <is>
          <t>Open</t>
        </is>
      </c>
      <c r="K78" s="11" t="inlineStr"/>
      <c r="L78" s="14">
        <f>IF(OR(J78="Paid",H78&gt;=TODAY()),0,TODAY()-H78)</f>
        <v/>
      </c>
      <c r="M78" s="11">
        <f>IF(J78="Paid","Paid",IF(L78=0,"Not Due",IF(L78&lt;=30,"1-30 Days",IF(L78&lt;=60,"31-60 Days",IF(L78&lt;=90,"61-90 Days","90+ Days")))))</f>
        <v/>
      </c>
    </row>
    <row r="79">
      <c r="A79" s="11" t="inlineStr">
        <is>
          <t>INV-2026-0078</t>
        </is>
      </c>
      <c r="B79" s="11" t="inlineStr">
        <is>
          <t>V1002</t>
        </is>
      </c>
      <c r="C79" s="11" t="inlineStr">
        <is>
          <t>BluePeak Services</t>
        </is>
      </c>
      <c r="D79" s="11" t="inlineStr">
        <is>
          <t>PO-Based</t>
        </is>
      </c>
      <c r="E79" s="11" t="inlineStr">
        <is>
          <t>4568450095</t>
        </is>
      </c>
      <c r="F79" s="11" t="inlineStr">
        <is>
          <t>4980027662</t>
        </is>
      </c>
      <c r="G79" s="12" t="n">
        <v>46197</v>
      </c>
      <c r="H79" s="12" t="n">
        <v>46242</v>
      </c>
      <c r="I79" s="13" t="n">
        <v>131583.83</v>
      </c>
      <c r="J79" s="11" t="inlineStr">
        <is>
          <t>Paid</t>
        </is>
      </c>
      <c r="K79" s="11" t="inlineStr"/>
      <c r="L79" s="14">
        <f>IF(OR(J79="Paid",H79&gt;=TODAY()),0,TODAY()-H79)</f>
        <v/>
      </c>
      <c r="M79" s="11">
        <f>IF(J79="Paid","Paid",IF(L79=0,"Not Due",IF(L79&lt;=30,"1-30 Days",IF(L79&lt;=60,"31-60 Days",IF(L79&lt;=90,"61-90 Days","90+ Days")))))</f>
        <v/>
      </c>
    </row>
    <row r="80">
      <c r="A80" s="11" t="inlineStr">
        <is>
          <t>INV-2026-0079</t>
        </is>
      </c>
      <c r="B80" s="11" t="inlineStr">
        <is>
          <t>V1005</t>
        </is>
      </c>
      <c r="C80" s="11" t="inlineStr">
        <is>
          <t>Evergreen IT Services</t>
        </is>
      </c>
      <c r="D80" s="11" t="inlineStr">
        <is>
          <t>PO-Based</t>
        </is>
      </c>
      <c r="E80" s="11" t="inlineStr">
        <is>
          <t>4553258988</t>
        </is>
      </c>
      <c r="F80" s="11" t="inlineStr">
        <is>
          <t>4921631697</t>
        </is>
      </c>
      <c r="G80" s="12" t="n">
        <v>46170</v>
      </c>
      <c r="H80" s="12" t="n">
        <v>46230</v>
      </c>
      <c r="I80" s="13" t="n">
        <v>110626.62</v>
      </c>
      <c r="J80" s="11" t="inlineStr">
        <is>
          <t>Paid</t>
        </is>
      </c>
      <c r="K80" s="11" t="inlineStr"/>
      <c r="L80" s="14">
        <f>IF(OR(J80="Paid",H80&gt;=TODAY()),0,TODAY()-H80)</f>
        <v/>
      </c>
      <c r="M80" s="11">
        <f>IF(J80="Paid","Paid",IF(L80=0,"Not Due",IF(L80&lt;=30,"1-30 Days",IF(L80&lt;=60,"31-60 Days",IF(L80&lt;=90,"61-90 Days","90+ Days")))))</f>
        <v/>
      </c>
    </row>
    <row r="81">
      <c r="A81" s="11" t="inlineStr">
        <is>
          <t>INV-2026-0080</t>
        </is>
      </c>
      <c r="B81" s="11" t="inlineStr">
        <is>
          <t>V1005</t>
        </is>
      </c>
      <c r="C81" s="11" t="inlineStr">
        <is>
          <t>Evergreen IT Services</t>
        </is>
      </c>
      <c r="D81" s="11" t="inlineStr">
        <is>
          <t>Non-PO</t>
        </is>
      </c>
      <c r="E81" s="11" t="inlineStr"/>
      <c r="F81" s="11" t="inlineStr"/>
      <c r="G81" s="12" t="n">
        <v>46192</v>
      </c>
      <c r="H81" s="12" t="n">
        <v>46222</v>
      </c>
      <c r="I81" s="13" t="n">
        <v>124444.4</v>
      </c>
      <c r="J81" s="11" t="inlineStr">
        <is>
          <t>Blocked</t>
        </is>
      </c>
      <c r="K81" s="11" t="inlineStr">
        <is>
          <t>Missing approval</t>
        </is>
      </c>
      <c r="L81" s="14">
        <f>IF(OR(J81="Paid",H81&gt;=TODAY()),0,TODAY()-H81)</f>
        <v/>
      </c>
      <c r="M81" s="11">
        <f>IF(J81="Paid","Paid",IF(L81=0,"Not Due",IF(L81&lt;=30,"1-30 Days",IF(L81&lt;=60,"31-60 Days",IF(L81&lt;=90,"61-90 Days","90+ Days")))))</f>
        <v/>
      </c>
    </row>
    <row r="82">
      <c r="A82" s="11" t="inlineStr">
        <is>
          <t>INV-2026-0081</t>
        </is>
      </c>
      <c r="B82" s="11" t="inlineStr">
        <is>
          <t>V1001</t>
        </is>
      </c>
      <c r="C82" s="11" t="inlineStr">
        <is>
          <t>Aster Office Supplies</t>
        </is>
      </c>
      <c r="D82" s="11" t="inlineStr">
        <is>
          <t>PO-Based</t>
        </is>
      </c>
      <c r="E82" s="11" t="inlineStr">
        <is>
          <t>4555679506</t>
        </is>
      </c>
      <c r="F82" s="11" t="inlineStr">
        <is>
          <t>4990014570</t>
        </is>
      </c>
      <c r="G82" s="12" t="n">
        <v>46181</v>
      </c>
      <c r="H82" s="12" t="n">
        <v>46226</v>
      </c>
      <c r="I82" s="13" t="n">
        <v>148104.41</v>
      </c>
      <c r="J82" s="11" t="inlineStr">
        <is>
          <t>Open</t>
        </is>
      </c>
      <c r="K82" s="11" t="inlineStr"/>
      <c r="L82" s="14">
        <f>IF(OR(J82="Paid",H82&gt;=TODAY()),0,TODAY()-H82)</f>
        <v/>
      </c>
      <c r="M82" s="11">
        <f>IF(J82="Paid","Paid",IF(L82=0,"Not Due",IF(L82&lt;=30,"1-30 Days",IF(L82&lt;=60,"31-60 Days",IF(L82&lt;=90,"61-90 Days","90+ Days")))))</f>
        <v/>
      </c>
    </row>
    <row r="83">
      <c r="A83" s="11" t="inlineStr">
        <is>
          <t>INV-2026-0082</t>
        </is>
      </c>
      <c r="B83" s="11" t="inlineStr">
        <is>
          <t>V1005</t>
        </is>
      </c>
      <c r="C83" s="11" t="inlineStr">
        <is>
          <t>Evergreen IT Services</t>
        </is>
      </c>
      <c r="D83" s="11" t="inlineStr">
        <is>
          <t>PO-Based</t>
        </is>
      </c>
      <c r="E83" s="11" t="inlineStr">
        <is>
          <t>4564549859</t>
        </is>
      </c>
      <c r="F83" s="11" t="inlineStr">
        <is>
          <t>4942255732</t>
        </is>
      </c>
      <c r="G83" s="12" t="n">
        <v>46165</v>
      </c>
      <c r="H83" s="12" t="n">
        <v>46180</v>
      </c>
      <c r="I83" s="13" t="n">
        <v>46547.48</v>
      </c>
      <c r="J83" s="11" t="inlineStr">
        <is>
          <t>Open</t>
        </is>
      </c>
      <c r="K83" s="11" t="inlineStr"/>
      <c r="L83" s="14">
        <f>IF(OR(J83="Paid",H83&gt;=TODAY()),0,TODAY()-H83)</f>
        <v/>
      </c>
      <c r="M83" s="11">
        <f>IF(J83="Paid","Paid",IF(L83=0,"Not Due",IF(L83&lt;=30,"1-30 Days",IF(L83&lt;=60,"31-60 Days",IF(L83&lt;=90,"61-90 Days","90+ Days")))))</f>
        <v/>
      </c>
    </row>
    <row r="84">
      <c r="A84" s="11" t="inlineStr">
        <is>
          <t>INV-2026-0083</t>
        </is>
      </c>
      <c r="B84" s="11" t="inlineStr">
        <is>
          <t>V1008</t>
        </is>
      </c>
      <c r="C84" s="11" t="inlineStr">
        <is>
          <t>Harbor Utilities</t>
        </is>
      </c>
      <c r="D84" s="11" t="inlineStr">
        <is>
          <t>Non-PO</t>
        </is>
      </c>
      <c r="E84" s="11" t="inlineStr"/>
      <c r="F84" s="11" t="inlineStr"/>
      <c r="G84" s="12" t="n">
        <v>46182</v>
      </c>
      <c r="H84" s="12" t="n">
        <v>46242</v>
      </c>
      <c r="I84" s="13" t="n">
        <v>42941.34</v>
      </c>
      <c r="J84" s="11" t="inlineStr">
        <is>
          <t>Open</t>
        </is>
      </c>
      <c r="K84" s="11" t="inlineStr"/>
      <c r="L84" s="14">
        <f>IF(OR(J84="Paid",H84&gt;=TODAY()),0,TODAY()-H84)</f>
        <v/>
      </c>
      <c r="M84" s="11">
        <f>IF(J84="Paid","Paid",IF(L84=0,"Not Due",IF(L84&lt;=30,"1-30 Days",IF(L84&lt;=60,"31-60 Days",IF(L84&lt;=90,"61-90 Days","90+ Days")))))</f>
        <v/>
      </c>
    </row>
    <row r="85">
      <c r="A85" s="11" t="inlineStr">
        <is>
          <t>INV-2026-0084</t>
        </is>
      </c>
      <c r="B85" s="11" t="inlineStr">
        <is>
          <t>V1004</t>
        </is>
      </c>
      <c r="C85" s="11" t="inlineStr">
        <is>
          <t>Delta Facilities</t>
        </is>
      </c>
      <c r="D85" s="11" t="inlineStr">
        <is>
          <t>PO-Based</t>
        </is>
      </c>
      <c r="E85" s="11" t="inlineStr">
        <is>
          <t>4583871890</t>
        </is>
      </c>
      <c r="F85" s="11" t="inlineStr">
        <is>
          <t>4970900658</t>
        </is>
      </c>
      <c r="G85" s="12" t="n">
        <v>46229</v>
      </c>
      <c r="H85" s="12" t="n">
        <v>46274</v>
      </c>
      <c r="I85" s="13" t="n">
        <v>80154.45</v>
      </c>
      <c r="J85" s="11" t="inlineStr">
        <is>
          <t>Blocked</t>
        </is>
      </c>
      <c r="K85" s="11" t="inlineStr">
        <is>
          <t>Missing approval</t>
        </is>
      </c>
      <c r="L85" s="14">
        <f>IF(OR(J85="Paid",H85&gt;=TODAY()),0,TODAY()-H85)</f>
        <v/>
      </c>
      <c r="M85" s="11">
        <f>IF(J85="Paid","Paid",IF(L85=0,"Not Due",IF(L85&lt;=30,"1-30 Days",IF(L85&lt;=60,"31-60 Days",IF(L85&lt;=90,"61-90 Days","90+ Days")))))</f>
        <v/>
      </c>
    </row>
    <row r="86">
      <c r="A86" s="11" t="inlineStr">
        <is>
          <t>INV-2026-0085</t>
        </is>
      </c>
      <c r="B86" s="11" t="inlineStr">
        <is>
          <t>V1005</t>
        </is>
      </c>
      <c r="C86" s="11" t="inlineStr">
        <is>
          <t>Evergreen IT Services</t>
        </is>
      </c>
      <c r="D86" s="11" t="inlineStr">
        <is>
          <t>PO-Based</t>
        </is>
      </c>
      <c r="E86" s="11" t="inlineStr">
        <is>
          <t>4581922443</t>
        </is>
      </c>
      <c r="F86" s="11" t="inlineStr">
        <is>
          <t>4934850391</t>
        </is>
      </c>
      <c r="G86" s="12" t="n">
        <v>46243</v>
      </c>
      <c r="H86" s="12" t="n">
        <v>46273</v>
      </c>
      <c r="I86" s="13" t="n">
        <v>24318.74</v>
      </c>
      <c r="J86" s="11" t="inlineStr">
        <is>
          <t>Open</t>
        </is>
      </c>
      <c r="K86" s="11" t="inlineStr"/>
      <c r="L86" s="14">
        <f>IF(OR(J86="Paid",H86&gt;=TODAY()),0,TODAY()-H86)</f>
        <v/>
      </c>
      <c r="M86" s="11">
        <f>IF(J86="Paid","Paid",IF(L86=0,"Not Due",IF(L86&lt;=30,"1-30 Days",IF(L86&lt;=60,"31-60 Days",IF(L86&lt;=90,"61-90 Days","90+ Days")))))</f>
        <v/>
      </c>
    </row>
    <row r="87">
      <c r="A87" s="11" t="inlineStr">
        <is>
          <t>INV-2026-0086</t>
        </is>
      </c>
      <c r="B87" s="11" t="inlineStr">
        <is>
          <t>V1004</t>
        </is>
      </c>
      <c r="C87" s="11" t="inlineStr">
        <is>
          <t>Delta Facilities</t>
        </is>
      </c>
      <c r="D87" s="11" t="inlineStr">
        <is>
          <t>PO-Based</t>
        </is>
      </c>
      <c r="E87" s="11" t="inlineStr">
        <is>
          <t>4590099897</t>
        </is>
      </c>
      <c r="F87" s="11" t="inlineStr">
        <is>
          <t>4923492385</t>
        </is>
      </c>
      <c r="G87" s="12" t="n">
        <v>46252</v>
      </c>
      <c r="H87" s="12" t="n">
        <v>46312</v>
      </c>
      <c r="I87" s="13" t="n">
        <v>141237.94</v>
      </c>
      <c r="J87" s="11" t="inlineStr">
        <is>
          <t>Blocked</t>
        </is>
      </c>
      <c r="K87" s="11" t="inlineStr">
        <is>
          <t>Missing GR</t>
        </is>
      </c>
      <c r="L87" s="14">
        <f>IF(OR(J87="Paid",H87&gt;=TODAY()),0,TODAY()-H87)</f>
        <v/>
      </c>
      <c r="M87" s="11">
        <f>IF(J87="Paid","Paid",IF(L87=0,"Not Due",IF(L87&lt;=30,"1-30 Days",IF(L87&lt;=60,"31-60 Days",IF(L87&lt;=90,"61-90 Days","90+ Days")))))</f>
        <v/>
      </c>
    </row>
    <row r="88">
      <c r="A88" s="11" t="inlineStr">
        <is>
          <t>INV-2026-0087</t>
        </is>
      </c>
      <c r="B88" s="11" t="inlineStr">
        <is>
          <t>V1005</t>
        </is>
      </c>
      <c r="C88" s="11" t="inlineStr">
        <is>
          <t>Evergreen IT Services</t>
        </is>
      </c>
      <c r="D88" s="11" t="inlineStr">
        <is>
          <t>PO-Based</t>
        </is>
      </c>
      <c r="E88" s="11" t="inlineStr">
        <is>
          <t>4546817443</t>
        </is>
      </c>
      <c r="F88" s="11" t="inlineStr"/>
      <c r="G88" s="12" t="n">
        <v>46249</v>
      </c>
      <c r="H88" s="12" t="n">
        <v>46294</v>
      </c>
      <c r="I88" s="13" t="n">
        <v>99979.64999999999</v>
      </c>
      <c r="J88" s="11" t="inlineStr">
        <is>
          <t>Open</t>
        </is>
      </c>
      <c r="K88" s="11" t="inlineStr"/>
      <c r="L88" s="14">
        <f>IF(OR(J88="Paid",H88&gt;=TODAY()),0,TODAY()-H88)</f>
        <v/>
      </c>
      <c r="M88" s="11">
        <f>IF(J88="Paid","Paid",IF(L88=0,"Not Due",IF(L88&lt;=30,"1-30 Days",IF(L88&lt;=60,"31-60 Days",IF(L88&lt;=90,"61-90 Days","90+ Days")))))</f>
        <v/>
      </c>
    </row>
    <row r="89">
      <c r="A89" s="11" t="inlineStr">
        <is>
          <t>INV-2026-0088</t>
        </is>
      </c>
      <c r="B89" s="11" t="inlineStr">
        <is>
          <t>V1001</t>
        </is>
      </c>
      <c r="C89" s="11" t="inlineStr">
        <is>
          <t>Aster Office Supplies</t>
        </is>
      </c>
      <c r="D89" s="11" t="inlineStr">
        <is>
          <t>PO-Based</t>
        </is>
      </c>
      <c r="E89" s="11" t="inlineStr">
        <is>
          <t>4575884623</t>
        </is>
      </c>
      <c r="F89" s="11" t="inlineStr"/>
      <c r="G89" s="12" t="n">
        <v>46166</v>
      </c>
      <c r="H89" s="12" t="n">
        <v>46211</v>
      </c>
      <c r="I89" s="13" t="n">
        <v>160994.17</v>
      </c>
      <c r="J89" s="11" t="inlineStr">
        <is>
          <t>Open</t>
        </is>
      </c>
      <c r="K89" s="11" t="inlineStr"/>
      <c r="L89" s="14">
        <f>IF(OR(J89="Paid",H89&gt;=TODAY()),0,TODAY()-H89)</f>
        <v/>
      </c>
      <c r="M89" s="11">
        <f>IF(J89="Paid","Paid",IF(L89=0,"Not Due",IF(L89&lt;=30,"1-30 Days",IF(L89&lt;=60,"31-60 Days",IF(L89&lt;=90,"61-90 Days","90+ Days")))))</f>
        <v/>
      </c>
    </row>
    <row r="90">
      <c r="A90" s="11" t="inlineStr">
        <is>
          <t>INV-2026-0089</t>
        </is>
      </c>
      <c r="B90" s="11" t="inlineStr">
        <is>
          <t>V1001</t>
        </is>
      </c>
      <c r="C90" s="11" t="inlineStr">
        <is>
          <t>Aster Office Supplies</t>
        </is>
      </c>
      <c r="D90" s="11" t="inlineStr">
        <is>
          <t>PO-Based</t>
        </is>
      </c>
      <c r="E90" s="11" t="inlineStr">
        <is>
          <t>4543887075</t>
        </is>
      </c>
      <c r="F90" s="11" t="inlineStr">
        <is>
          <t>4974119726</t>
        </is>
      </c>
      <c r="G90" s="12" t="n">
        <v>46235</v>
      </c>
      <c r="H90" s="12" t="n">
        <v>46295</v>
      </c>
      <c r="I90" s="13" t="n">
        <v>178703.32</v>
      </c>
      <c r="J90" s="11" t="inlineStr">
        <is>
          <t>Open</t>
        </is>
      </c>
      <c r="K90" s="11" t="inlineStr"/>
      <c r="L90" s="14">
        <f>IF(OR(J90="Paid",H90&gt;=TODAY()),0,TODAY()-H90)</f>
        <v/>
      </c>
      <c r="M90" s="11">
        <f>IF(J90="Paid","Paid",IF(L90=0,"Not Due",IF(L90&lt;=30,"1-30 Days",IF(L90&lt;=60,"31-60 Days",IF(L90&lt;=90,"61-90 Days","90+ Days")))))</f>
        <v/>
      </c>
    </row>
    <row r="91">
      <c r="A91" s="11" t="inlineStr">
        <is>
          <t>INV-2026-0090</t>
        </is>
      </c>
      <c r="B91" s="11" t="inlineStr">
        <is>
          <t>V1002</t>
        </is>
      </c>
      <c r="C91" s="11" t="inlineStr">
        <is>
          <t>BluePeak Services</t>
        </is>
      </c>
      <c r="D91" s="11" t="inlineStr">
        <is>
          <t>PO-Based</t>
        </is>
      </c>
      <c r="E91" s="11" t="inlineStr">
        <is>
          <t>4530364454</t>
        </is>
      </c>
      <c r="F91" s="11" t="inlineStr">
        <is>
          <t>4985543051</t>
        </is>
      </c>
      <c r="G91" s="12" t="n">
        <v>46291</v>
      </c>
      <c r="H91" s="12" t="n">
        <v>46351</v>
      </c>
      <c r="I91" s="13" t="n">
        <v>127777.31</v>
      </c>
      <c r="J91" s="11" t="inlineStr">
        <is>
          <t>Blocked</t>
        </is>
      </c>
      <c r="K91" s="11" t="inlineStr">
        <is>
          <t>Missing approval</t>
        </is>
      </c>
      <c r="L91" s="14">
        <f>IF(OR(J91="Paid",H91&gt;=TODAY()),0,TODAY()-H91)</f>
        <v/>
      </c>
      <c r="M91" s="11">
        <f>IF(J91="Paid","Paid",IF(L91=0,"Not Due",IF(L91&lt;=30,"1-30 Days",IF(L91&lt;=60,"31-60 Days",IF(L91&lt;=90,"61-90 Days","90+ Days")))))</f>
        <v/>
      </c>
    </row>
    <row r="92">
      <c r="A92" s="11" t="inlineStr">
        <is>
          <t>INV-2026-0091</t>
        </is>
      </c>
      <c r="B92" s="11" t="inlineStr">
        <is>
          <t>V1002</t>
        </is>
      </c>
      <c r="C92" s="11" t="inlineStr">
        <is>
          <t>BluePeak Services</t>
        </is>
      </c>
      <c r="D92" s="11" t="inlineStr">
        <is>
          <t>PO-Based</t>
        </is>
      </c>
      <c r="E92" s="11" t="inlineStr">
        <is>
          <t>4593002706</t>
        </is>
      </c>
      <c r="F92" s="11" t="inlineStr">
        <is>
          <t>4980138498</t>
        </is>
      </c>
      <c r="G92" s="12" t="n">
        <v>46244</v>
      </c>
      <c r="H92" s="12" t="n">
        <v>46259</v>
      </c>
      <c r="I92" s="13" t="n">
        <v>111293.15</v>
      </c>
      <c r="J92" s="11" t="inlineStr">
        <is>
          <t>Open</t>
        </is>
      </c>
      <c r="K92" s="11" t="inlineStr"/>
      <c r="L92" s="14">
        <f>IF(OR(J92="Paid",H92&gt;=TODAY()),0,TODAY()-H92)</f>
        <v/>
      </c>
      <c r="M92" s="11">
        <f>IF(J92="Paid","Paid",IF(L92=0,"Not Due",IF(L92&lt;=30,"1-30 Days",IF(L92&lt;=60,"31-60 Days",IF(L92&lt;=90,"61-90 Days","90+ Days")))))</f>
        <v/>
      </c>
    </row>
    <row r="93">
      <c r="A93" s="11" t="inlineStr">
        <is>
          <t>INV-2026-0092</t>
        </is>
      </c>
      <c r="B93" s="11" t="inlineStr">
        <is>
          <t>V1007</t>
        </is>
      </c>
      <c r="C93" s="11" t="inlineStr">
        <is>
          <t>Granite Packaging</t>
        </is>
      </c>
      <c r="D93" s="11" t="inlineStr">
        <is>
          <t>PO-Based</t>
        </is>
      </c>
      <c r="E93" s="11" t="inlineStr">
        <is>
          <t>4586320155</t>
        </is>
      </c>
      <c r="F93" s="11" t="inlineStr">
        <is>
          <t>4991823275</t>
        </is>
      </c>
      <c r="G93" s="12" t="n">
        <v>46192</v>
      </c>
      <c r="H93" s="12" t="n">
        <v>46252</v>
      </c>
      <c r="I93" s="13" t="n">
        <v>80761.45</v>
      </c>
      <c r="J93" s="11" t="inlineStr">
        <is>
          <t>Blocked</t>
        </is>
      </c>
      <c r="K93" s="11" t="inlineStr">
        <is>
          <t>Quantity variance</t>
        </is>
      </c>
      <c r="L93" s="14">
        <f>IF(OR(J93="Paid",H93&gt;=TODAY()),0,TODAY()-H93)</f>
        <v/>
      </c>
      <c r="M93" s="11">
        <f>IF(J93="Paid","Paid",IF(L93=0,"Not Due",IF(L93&lt;=30,"1-30 Days",IF(L93&lt;=60,"31-60 Days",IF(L93&lt;=90,"61-90 Days","90+ Days")))))</f>
        <v/>
      </c>
    </row>
    <row r="94">
      <c r="A94" s="11" t="inlineStr">
        <is>
          <t>INV-2026-0093</t>
        </is>
      </c>
      <c r="B94" s="11" t="inlineStr">
        <is>
          <t>V1002</t>
        </is>
      </c>
      <c r="C94" s="11" t="inlineStr">
        <is>
          <t>BluePeak Services</t>
        </is>
      </c>
      <c r="D94" s="11" t="inlineStr">
        <is>
          <t>PO-Based</t>
        </is>
      </c>
      <c r="E94" s="11" t="inlineStr">
        <is>
          <t>4584087145</t>
        </is>
      </c>
      <c r="F94" s="11" t="inlineStr"/>
      <c r="G94" s="12" t="n">
        <v>46254</v>
      </c>
      <c r="H94" s="12" t="n">
        <v>46284</v>
      </c>
      <c r="I94" s="13" t="n">
        <v>46275.39</v>
      </c>
      <c r="J94" s="11" t="inlineStr">
        <is>
          <t>Open</t>
        </is>
      </c>
      <c r="K94" s="11" t="inlineStr"/>
      <c r="L94" s="14">
        <f>IF(OR(J94="Paid",H94&gt;=TODAY()),0,TODAY()-H94)</f>
        <v/>
      </c>
      <c r="M94" s="11">
        <f>IF(J94="Paid","Paid",IF(L94=0,"Not Due",IF(L94&lt;=30,"1-30 Days",IF(L94&lt;=60,"31-60 Days",IF(L94&lt;=90,"61-90 Days","90+ Days")))))</f>
        <v/>
      </c>
    </row>
    <row r="95">
      <c r="A95" s="11" t="inlineStr">
        <is>
          <t>INV-2026-0094</t>
        </is>
      </c>
      <c r="B95" s="11" t="inlineStr">
        <is>
          <t>V1001</t>
        </is>
      </c>
      <c r="C95" s="11" t="inlineStr">
        <is>
          <t>Aster Office Supplies</t>
        </is>
      </c>
      <c r="D95" s="11" t="inlineStr">
        <is>
          <t>PO-Based</t>
        </is>
      </c>
      <c r="E95" s="11" t="inlineStr">
        <is>
          <t>4548668783</t>
        </is>
      </c>
      <c r="F95" s="11" t="inlineStr">
        <is>
          <t>4970939053</t>
        </is>
      </c>
      <c r="G95" s="12" t="n">
        <v>46203</v>
      </c>
      <c r="H95" s="12" t="n">
        <v>46263</v>
      </c>
      <c r="I95" s="13" t="n">
        <v>8456.77</v>
      </c>
      <c r="J95" s="11" t="inlineStr">
        <is>
          <t>Blocked</t>
        </is>
      </c>
      <c r="K95" s="11" t="inlineStr">
        <is>
          <t>Price variance</t>
        </is>
      </c>
      <c r="L95" s="14">
        <f>IF(OR(J95="Paid",H95&gt;=TODAY()),0,TODAY()-H95)</f>
        <v/>
      </c>
      <c r="M95" s="11">
        <f>IF(J95="Paid","Paid",IF(L95=0,"Not Due",IF(L95&lt;=30,"1-30 Days",IF(L95&lt;=60,"31-60 Days",IF(L95&lt;=90,"61-90 Days","90+ Days")))))</f>
        <v/>
      </c>
    </row>
    <row r="96">
      <c r="A96" s="11" t="inlineStr">
        <is>
          <t>INV-2026-0095</t>
        </is>
      </c>
      <c r="B96" s="11" t="inlineStr">
        <is>
          <t>V1004</t>
        </is>
      </c>
      <c r="C96" s="11" t="inlineStr">
        <is>
          <t>Delta Facilities</t>
        </is>
      </c>
      <c r="D96" s="11" t="inlineStr">
        <is>
          <t>PO-Based</t>
        </is>
      </c>
      <c r="E96" s="11" t="inlineStr">
        <is>
          <t>4545652586</t>
        </is>
      </c>
      <c r="F96" s="11" t="inlineStr">
        <is>
          <t>4919584466</t>
        </is>
      </c>
      <c r="G96" s="12" t="n">
        <v>46240</v>
      </c>
      <c r="H96" s="12" t="n">
        <v>46270</v>
      </c>
      <c r="I96" s="13" t="n">
        <v>120693.34</v>
      </c>
      <c r="J96" s="11" t="inlineStr">
        <is>
          <t>Blocked</t>
        </is>
      </c>
      <c r="K96" s="11" t="inlineStr">
        <is>
          <t>Price variance</t>
        </is>
      </c>
      <c r="L96" s="14">
        <f>IF(OR(J96="Paid",H96&gt;=TODAY()),0,TODAY()-H96)</f>
        <v/>
      </c>
      <c r="M96" s="11">
        <f>IF(J96="Paid","Paid",IF(L96=0,"Not Due",IF(L96&lt;=30,"1-30 Days",IF(L96&lt;=60,"31-60 Days",IF(L96&lt;=90,"61-90 Days","90+ Days")))))</f>
        <v/>
      </c>
    </row>
    <row r="97">
      <c r="A97" s="11" t="inlineStr">
        <is>
          <t>INV-2026-0096</t>
        </is>
      </c>
      <c r="B97" s="11" t="inlineStr">
        <is>
          <t>V1003</t>
        </is>
      </c>
      <c r="C97" s="11" t="inlineStr">
        <is>
          <t>Cedar Industrial</t>
        </is>
      </c>
      <c r="D97" s="11" t="inlineStr">
        <is>
          <t>PO-Based</t>
        </is>
      </c>
      <c r="E97" s="11" t="inlineStr">
        <is>
          <t>4564023778</t>
        </is>
      </c>
      <c r="F97" s="11" t="inlineStr">
        <is>
          <t>4977172238</t>
        </is>
      </c>
      <c r="G97" s="12" t="n">
        <v>46229</v>
      </c>
      <c r="H97" s="12" t="n">
        <v>46274</v>
      </c>
      <c r="I97" s="13" t="n">
        <v>57996.64</v>
      </c>
      <c r="J97" s="11" t="inlineStr">
        <is>
          <t>Blocked</t>
        </is>
      </c>
      <c r="K97" s="11" t="inlineStr">
        <is>
          <t>Missing documentation</t>
        </is>
      </c>
      <c r="L97" s="14">
        <f>IF(OR(J97="Paid",H97&gt;=TODAY()),0,TODAY()-H97)</f>
        <v/>
      </c>
      <c r="M97" s="11">
        <f>IF(J97="Paid","Paid",IF(L97=0,"Not Due",IF(L97&lt;=30,"1-30 Days",IF(L97&lt;=60,"31-60 Days",IF(L97&lt;=90,"61-90 Days","90+ Days")))))</f>
        <v/>
      </c>
    </row>
    <row r="98">
      <c r="A98" s="11" t="inlineStr">
        <is>
          <t>INV-2026-0097</t>
        </is>
      </c>
      <c r="B98" s="11" t="inlineStr">
        <is>
          <t>V1008</t>
        </is>
      </c>
      <c r="C98" s="11" t="inlineStr">
        <is>
          <t>Harbor Utilities</t>
        </is>
      </c>
      <c r="D98" s="11" t="inlineStr">
        <is>
          <t>PO-Based</t>
        </is>
      </c>
      <c r="E98" s="11" t="inlineStr">
        <is>
          <t>4591029073</t>
        </is>
      </c>
      <c r="F98" s="11" t="inlineStr">
        <is>
          <t>4922257687</t>
        </is>
      </c>
      <c r="G98" s="12" t="n">
        <v>46195</v>
      </c>
      <c r="H98" s="12" t="n">
        <v>46210</v>
      </c>
      <c r="I98" s="13" t="n">
        <v>136552.44</v>
      </c>
      <c r="J98" s="11" t="inlineStr">
        <is>
          <t>Paid</t>
        </is>
      </c>
      <c r="K98" s="11" t="inlineStr"/>
      <c r="L98" s="14">
        <f>IF(OR(J98="Paid",H98&gt;=TODAY()),0,TODAY()-H98)</f>
        <v/>
      </c>
      <c r="M98" s="11">
        <f>IF(J98="Paid","Paid",IF(L98=0,"Not Due",IF(L98&lt;=30,"1-30 Days",IF(L98&lt;=60,"31-60 Days",IF(L98&lt;=90,"61-90 Days","90+ Days")))))</f>
        <v/>
      </c>
    </row>
    <row r="99">
      <c r="A99" s="11" t="inlineStr">
        <is>
          <t>INV-2026-0098</t>
        </is>
      </c>
      <c r="B99" s="11" t="inlineStr">
        <is>
          <t>V1004</t>
        </is>
      </c>
      <c r="C99" s="11" t="inlineStr">
        <is>
          <t>Delta Facilities</t>
        </is>
      </c>
      <c r="D99" s="11" t="inlineStr">
        <is>
          <t>PO-Based</t>
        </is>
      </c>
      <c r="E99" s="11" t="inlineStr">
        <is>
          <t>4579654147</t>
        </is>
      </c>
      <c r="F99" s="11" t="inlineStr">
        <is>
          <t>4947333543</t>
        </is>
      </c>
      <c r="G99" s="12" t="n">
        <v>46302</v>
      </c>
      <c r="H99" s="12" t="n">
        <v>46347</v>
      </c>
      <c r="I99" s="13" t="n">
        <v>34472.31</v>
      </c>
      <c r="J99" s="11" t="inlineStr">
        <is>
          <t>Paid</t>
        </is>
      </c>
      <c r="K99" s="11" t="inlineStr"/>
      <c r="L99" s="14">
        <f>IF(OR(J99="Paid",H99&gt;=TODAY()),0,TODAY()-H99)</f>
        <v/>
      </c>
      <c r="M99" s="11">
        <f>IF(J99="Paid","Paid",IF(L99=0,"Not Due",IF(L99&lt;=30,"1-30 Days",IF(L99&lt;=60,"31-60 Days",IF(L99&lt;=90,"61-90 Days","90+ Days")))))</f>
        <v/>
      </c>
    </row>
    <row r="100">
      <c r="A100" s="11" t="inlineStr">
        <is>
          <t>INV-2026-0099</t>
        </is>
      </c>
      <c r="B100" s="11" t="inlineStr">
        <is>
          <t>V1003</t>
        </is>
      </c>
      <c r="C100" s="11" t="inlineStr">
        <is>
          <t>Cedar Industrial</t>
        </is>
      </c>
      <c r="D100" s="11" t="inlineStr">
        <is>
          <t>Non-PO</t>
        </is>
      </c>
      <c r="E100" s="11" t="inlineStr"/>
      <c r="F100" s="11" t="inlineStr"/>
      <c r="G100" s="12" t="n">
        <v>46196</v>
      </c>
      <c r="H100" s="12" t="n">
        <v>46256</v>
      </c>
      <c r="I100" s="13" t="n">
        <v>77023.53</v>
      </c>
      <c r="J100" s="11" t="inlineStr">
        <is>
          <t>Blocked</t>
        </is>
      </c>
      <c r="K100" s="11" t="inlineStr">
        <is>
          <t>Missing approval</t>
        </is>
      </c>
      <c r="L100" s="14">
        <f>IF(OR(J100="Paid",H100&gt;=TODAY()),0,TODAY()-H100)</f>
        <v/>
      </c>
      <c r="M100" s="11">
        <f>IF(J100="Paid","Paid",IF(L100=0,"Not Due",IF(L100&lt;=30,"1-30 Days",IF(L100&lt;=60,"31-60 Days",IF(L100&lt;=90,"61-90 Days","90+ Days")))))</f>
        <v/>
      </c>
    </row>
    <row r="101">
      <c r="A101" s="11" t="inlineStr">
        <is>
          <t>INV-2026-0100</t>
        </is>
      </c>
      <c r="B101" s="11" t="inlineStr">
        <is>
          <t>V1002</t>
        </is>
      </c>
      <c r="C101" s="11" t="inlineStr">
        <is>
          <t>BluePeak Services</t>
        </is>
      </c>
      <c r="D101" s="11" t="inlineStr">
        <is>
          <t>PO-Based</t>
        </is>
      </c>
      <c r="E101" s="11" t="inlineStr">
        <is>
          <t>4563747791</t>
        </is>
      </c>
      <c r="F101" s="11" t="inlineStr">
        <is>
          <t>4983832717</t>
        </is>
      </c>
      <c r="G101" s="12" t="n">
        <v>46266</v>
      </c>
      <c r="H101" s="12" t="n">
        <v>46311</v>
      </c>
      <c r="I101" s="13" t="n">
        <v>123421.5</v>
      </c>
      <c r="J101" s="11" t="inlineStr">
        <is>
          <t>Blocked</t>
        </is>
      </c>
      <c r="K101" s="11" t="inlineStr">
        <is>
          <t>Price variance</t>
        </is>
      </c>
      <c r="L101" s="14">
        <f>IF(OR(J101="Paid",H101&gt;=TODAY()),0,TODAY()-H101)</f>
        <v/>
      </c>
      <c r="M101" s="11">
        <f>IF(J101="Paid","Paid",IF(L101=0,"Not Due",IF(L101&lt;=30,"1-30 Days",IF(L101&lt;=60,"31-60 Days",IF(L101&lt;=90,"61-90 Days","90+ Days")))))</f>
        <v/>
      </c>
    </row>
  </sheetData>
  <autoFilter ref="A1:M101"/>
  <conditionalFormatting sqref="J2:J101">
    <cfRule type="expression" priority="1" dxfId="0">
      <formula>J2="Blocked"</formula>
    </cfRule>
    <cfRule type="expression" priority="2" dxfId="1">
      <formula>J2="Paid"</formula>
    </cfRule>
  </conditionalFormatting>
  <conditionalFormatting sqref="L2:L101">
    <cfRule type="cellIs" priority="3" operator="greaterThan" dxfId="0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5" customWidth="1" min="2" max="2"/>
  </cols>
  <sheetData>
    <row r="1">
      <c r="A1" s="15" t="inlineStr">
        <is>
          <t>PROJECT GUIDE — SAP AP INVOICE TRACKING</t>
        </is>
      </c>
    </row>
    <row r="3" ht="42" customHeight="1">
      <c r="A3" s="16" t="inlineStr">
        <is>
          <t>Purpose</t>
        </is>
      </c>
      <c r="B3" s="17" t="inlineStr">
        <is>
          <t>Demonstrate invoice monitoring, ageing analysis, status reporting, and exception tracking for an SAP Accounts Payable process.</t>
        </is>
      </c>
    </row>
    <row r="4" ht="42" customHeight="1">
      <c r="A4" s="16" t="inlineStr">
        <is>
          <t>Data</t>
        </is>
      </c>
      <c r="B4" s="17" t="inlineStr">
        <is>
          <t>100 fictional invoices and fictional vendor names. No real company or supplier data is used.</t>
        </is>
      </c>
    </row>
    <row r="5" ht="42" customHeight="1">
      <c r="A5" s="16" t="inlineStr">
        <is>
          <t>How to use</t>
        </is>
      </c>
      <c r="B5" s="17" t="inlineStr">
        <is>
          <t>Open Invoice Tracker and filter by Status, Invoice Type, Vendor, or Ageing Bucket.</t>
        </is>
      </c>
    </row>
    <row r="6" ht="42" customHeight="1">
      <c r="A6" s="16" t="inlineStr">
        <is>
          <t>Ageing logic</t>
        </is>
      </c>
      <c r="B6" s="17" t="inlineStr">
        <is>
          <t>Days Past Due and Ageing Bucket are formula-driven using TODAY(). Paid invoices are labelled Paid and excluded from outstanding ageing value.</t>
        </is>
      </c>
    </row>
    <row r="7" ht="42" customHeight="1">
      <c r="A7" s="16" t="inlineStr">
        <is>
          <t>Dashboard</t>
        </is>
      </c>
      <c r="B7" s="17" t="inlineStr">
        <is>
          <t>KPI cards, invoice status summary, outstanding ageing summary, and charts are formula-driven. Recalculate formulas in Excel if values do not refresh immediately.</t>
        </is>
      </c>
    </row>
    <row r="8" ht="42" customHeight="1">
      <c r="A8" s="16" t="inlineStr">
        <is>
          <t>Important</t>
        </is>
      </c>
      <c r="B8" s="17" t="inlineStr">
        <is>
          <t>This is a portfolio simulation, not a live SAP extract. Actual business rules and SAP configuration can differ by organization.</t>
        </is>
      </c>
    </row>
    <row r="10">
      <c r="A10" t="inlineStr">
        <is>
          <t>Suggested GitHub description</t>
        </is>
      </c>
      <c r="B10" t="inlineStr">
        <is>
          <t>Excel dashboard for fictional SAP Accounts Payable invoices, invoice ageing, blocked invoice monitoring, and AP status reporting.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SAP AP P2P Portfolio</dc:creator>
  <dc:title xmlns:dc="http://purl.org/dc/elements/1.1/">SAP AP Invoice Tracking Dashboard</dc:title>
  <dc:subject xmlns:dc="http://purl.org/dc/elements/1.1/">SAP Accounts Payable P2P portfolio project using fictional data</dc:subject>
  <dcterms:created xmlns:dcterms="http://purl.org/dc/terms/" xmlns:xsi="http://www.w3.org/2001/XMLSchema-instance" xsi:type="dcterms:W3CDTF">2026-10-12T06:16:59Z</dcterms:created>
  <dcterms:modified xmlns:dcterms="http://purl.org/dc/terms/" xmlns:xsi="http://www.w3.org/2001/XMLSchema-instance" xsi:type="dcterms:W3CDTF">2026-10-12T06:16:59Z</dcterms:modified>
</cp:coreProperties>
</file>