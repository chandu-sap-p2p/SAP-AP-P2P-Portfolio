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Reconciliation Data" sheetId="2" state="visible" r:id="rId2"/>
    <sheet xmlns:r="http://schemas.openxmlformats.org/officeDocument/2006/relationships" name="Read Me" sheetId="3" state="visible" r:id="rId3"/>
    <sheet xmlns:r="http://schemas.openxmlformats.org/officeDocument/2006/relationships" name="GR-IR Review" sheetId="4" state="visible" r:id="rId4"/>
  </sheets>
  <definedNames>
    <definedName name="_xlnm._FilterDatabase" localSheetId="1" hidden="1">'Reconciliation Data'!$A$1:$Q$61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₹#,##0.00;[Red](₹#,##0.00)"/>
    <numFmt numFmtId="165" formatCode="yyyy-mm-dd"/>
    <numFmt numFmtId="166" formatCode="dd-mmm-yyyy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  <color rgb="00FFFFFF"/>
    </font>
    <font>
      <i val="1"/>
      <color rgb="001F4E78"/>
    </font>
    <font>
      <b val="1"/>
      <color rgb="0017365D"/>
      <sz val="16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3" fillId="2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Reconciliation Items by Category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'Dashboard'!$A$8:$A$13</f>
            </numRef>
          </cat>
          <val>
            <numRef>
              <f>'Dashboard'!$B$8:$B$13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GR/IR Status Breakdown</a:t>
            </a:r>
          </a:p>
        </rich>
      </tx>
    </title>
    <plotArea>
      <pieChart>
        <varyColors val="1"/>
        <ser>
          <idx val="0"/>
          <order val="0"/>
          <tx>
            <strRef>
              <f>'Dashboard'!E7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'Dashboard'!$D$8:$D$11</f>
            </numRef>
          </cat>
          <val>
            <numRef>
              <f>'Dashboard'!$E$8:$E$11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15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15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econData" displayName="ReconData" ref="A1:Q61" headerRowCount="1">
  <autoFilter ref="A1:Q61"/>
  <tableColumns count="17">
    <tableColumn id="1" name="Vendor ID"/>
    <tableColumn id="2" name="Vendor Name"/>
    <tableColumn id="3" name="Vendor Statement Ref"/>
    <tableColumn id="4" name="SAP Document No."/>
    <tableColumn id="5" name="PO Number"/>
    <tableColumn id="6" name="GR Document No."/>
    <tableColumn id="7" name="Statement Amount (INR)"/>
    <tableColumn id="8" name="SAP Invoice Amount (INR)"/>
    <tableColumn id="9" name="SAP Payment Amount (INR)"/>
    <tableColumn id="10" name="Statement Payment Amount (INR)"/>
    <tableColumn id="11" name="GR/IR Status"/>
    <tableColumn id="12" name="Expected Scenario"/>
    <tableColumn id="13" name="Invoice Variance (INR)"/>
    <tableColumn id="14" name="Payment Variance (INR)"/>
    <tableColumn id="15" name="Reconciliation Status"/>
    <tableColumn id="16" name="Review Date"/>
    <tableColumn id="17" name="Action Require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GRIRReview" displayName="GRIRReview" ref="A1:I21" headerRowCount="1">
  <autoFilter ref="A1:I21"/>
  <tableColumns count="9">
    <tableColumn id="1" name="Vendor ID"/>
    <tableColumn id="2" name="Vendor Name"/>
    <tableColumn id="3" name="SAP Document No."/>
    <tableColumn id="4" name="PO Number"/>
    <tableColumn id="5" name="GR Document No."/>
    <tableColumn id="6" name="SAP Invoice Amount (INR)"/>
    <tableColumn id="7" name="GR/IR Status"/>
    <tableColumn id="8" name="Expected Scenario"/>
    <tableColumn id="9" name="Action Required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4" customWidth="1" min="3" max="3"/>
    <col width="25" customWidth="1" min="4" max="4"/>
    <col width="15" customWidth="1" min="5" max="5"/>
    <col width="15" customWidth="1" min="6" max="6"/>
    <col width="18" customWidth="1" min="7" max="7"/>
    <col width="18" customWidth="1" min="8" max="8"/>
  </cols>
  <sheetData>
    <row r="1">
      <c r="A1" s="1" t="inlineStr">
        <is>
          <t>VENDOR RECONCILIATION &amp; GR/IR ANALYSIS</t>
        </is>
      </c>
    </row>
    <row r="2">
      <c r="A2" s="2" t="inlineStr">
        <is>
          <t>SAP AP/P2P Portfolio Simulation | Fictional data only</t>
        </is>
      </c>
    </row>
    <row r="4" ht="42" customHeight="1">
      <c r="A4" s="3" t="inlineStr">
        <is>
          <t>Total Reconciliation Items</t>
        </is>
      </c>
      <c r="B4" s="4">
        <f>COUNTA('Reconciliation Data'!$C$2:$C$61)</f>
        <v/>
      </c>
      <c r="C4" s="3" t="inlineStr">
        <is>
          <t>Matched Items</t>
        </is>
      </c>
      <c r="D4" s="4">
        <f>COUNTIF('Reconciliation Data'!$O$2:$O$61,"Matched")</f>
        <v/>
      </c>
      <c r="E4" s="3" t="inlineStr">
        <is>
          <t>Exception Items</t>
        </is>
      </c>
      <c r="F4" s="4">
        <f>COUNTIF('Reconciliation Data'!$O$2:$O$61,"Exception")</f>
        <v/>
      </c>
      <c r="G4" s="3" t="inlineStr">
        <is>
          <t>Open GR/IR Items</t>
        </is>
      </c>
      <c r="H4" s="4">
        <f>COUNTIF('Reconciliation Data'!$K$2:$K$61,"Open")</f>
        <v/>
      </c>
    </row>
    <row r="7">
      <c r="A7" s="5" t="inlineStr">
        <is>
          <t>Exception Category</t>
        </is>
      </c>
      <c r="B7" s="5" t="inlineStr">
        <is>
          <t>Count</t>
        </is>
      </c>
      <c r="D7" s="5" t="inlineStr">
        <is>
          <t>GR/IR Status</t>
        </is>
      </c>
      <c r="E7" s="5" t="inlineStr">
        <is>
          <t>Count</t>
        </is>
      </c>
    </row>
    <row r="8">
      <c r="A8" s="6" t="inlineStr">
        <is>
          <t>Matched</t>
        </is>
      </c>
      <c r="B8">
        <f>COUNTIF('Reconciliation Data'!$L$2:$L$61,"Matched")</f>
        <v/>
      </c>
      <c r="D8" t="inlineStr">
        <is>
          <t>Open</t>
        </is>
      </c>
      <c r="E8">
        <f>COUNTIF('Reconciliation Data'!$K$2:$K$61,"Open")</f>
        <v/>
      </c>
    </row>
    <row r="9">
      <c r="A9" s="6" t="inlineStr">
        <is>
          <t>Invoice Missing in SAP</t>
        </is>
      </c>
      <c r="B9">
        <f>COUNTIF('Reconciliation Data'!$L$2:$L$61,"Invoice Missing in SAP")</f>
        <v/>
      </c>
      <c r="D9" t="inlineStr">
        <is>
          <t>Cleared</t>
        </is>
      </c>
      <c r="E9">
        <f>COUNTIF('Reconciliation Data'!$K$2:$K$61,"Cleared")</f>
        <v/>
      </c>
    </row>
    <row r="10">
      <c r="A10" s="6" t="inlineStr">
        <is>
          <t>Payment Missing in Statement</t>
        </is>
      </c>
      <c r="B10">
        <f>COUNTIF('Reconciliation Data'!$L$2:$L$61,"Payment Missing in Statement")</f>
        <v/>
      </c>
      <c r="D10" t="inlineStr">
        <is>
          <t>Missing GR</t>
        </is>
      </c>
      <c r="E10">
        <f>COUNTIF('Reconciliation Data'!$K$2:$K$61,"Missing GR")</f>
        <v/>
      </c>
    </row>
    <row r="11">
      <c r="A11" s="6" t="inlineStr">
        <is>
          <t>Amount Variance</t>
        </is>
      </c>
      <c r="B11">
        <f>COUNTIF('Reconciliation Data'!$L$2:$L$61,"Amount Variance")</f>
        <v/>
      </c>
      <c r="D11" t="inlineStr">
        <is>
          <t>Not Applicable</t>
        </is>
      </c>
      <c r="E11">
        <f>COUNTIF('Reconciliation Data'!$K$2:$K$61,"Not Applicable")</f>
        <v/>
      </c>
    </row>
    <row r="12">
      <c r="A12" s="6" t="inlineStr">
        <is>
          <t>Credit Note Missing</t>
        </is>
      </c>
      <c r="B12">
        <f>COUNTIF('Reconciliation Data'!$L$2:$L$61,"Credit Note Missing")</f>
        <v/>
      </c>
    </row>
    <row r="13">
      <c r="A13" s="6" t="inlineStr">
        <is>
          <t>GR/IR Open Item</t>
        </is>
      </c>
      <c r="B13">
        <f>COUNTIF('Reconciliation Data'!$L$2:$L$61,"GR/IR Open Item")</f>
        <v/>
      </c>
    </row>
    <row r="32">
      <c r="A32" s="5" t="inlineStr">
        <is>
          <t>How to use</t>
        </is>
      </c>
    </row>
    <row r="33">
      <c r="A33" s="7" t="inlineStr">
        <is>
          <t>Filter Reconciliation Data by Reconciliation Status, Expected Scenario, Vendor, or GR/IR Status. Review Action Required for next steps. Use GR-IR Review for a focused open-item follow-up list.</t>
        </is>
      </c>
    </row>
    <row r="34"/>
  </sheetData>
  <mergeCells count="4">
    <mergeCell ref="A32:H32"/>
    <mergeCell ref="A2:H2"/>
    <mergeCell ref="A33:H34"/>
    <mergeCell ref="A1:H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2" customWidth="1" min="3" max="3"/>
    <col width="19" customWidth="1" min="4" max="4"/>
    <col width="18" customWidth="1" min="5" max="5"/>
    <col width="19" customWidth="1" min="6" max="6"/>
    <col width="23" customWidth="1" min="7" max="7"/>
    <col width="23" customWidth="1" min="8" max="8"/>
    <col width="23" customWidth="1" min="9" max="9"/>
    <col width="25" customWidth="1" min="10" max="10"/>
    <col width="17" customWidth="1" min="11" max="11"/>
    <col width="25" customWidth="1" min="12" max="12"/>
    <col width="23" customWidth="1" min="13" max="13"/>
    <col width="23" customWidth="1" min="14" max="14"/>
    <col width="22" customWidth="1" min="15" max="15"/>
    <col width="25" customWidth="1" min="16" max="16"/>
    <col width="52" customWidth="1" min="17" max="17"/>
  </cols>
  <sheetData>
    <row r="1" ht="35" customHeight="1">
      <c r="A1" s="8" t="inlineStr">
        <is>
          <t>Vendor ID</t>
        </is>
      </c>
      <c r="B1" s="8" t="inlineStr">
        <is>
          <t>Vendor Name</t>
        </is>
      </c>
      <c r="C1" s="8" t="inlineStr">
        <is>
          <t>Vendor Statement Ref</t>
        </is>
      </c>
      <c r="D1" s="8" t="inlineStr">
        <is>
          <t>SAP Document No.</t>
        </is>
      </c>
      <c r="E1" s="8" t="inlineStr">
        <is>
          <t>PO Number</t>
        </is>
      </c>
      <c r="F1" s="8" t="inlineStr">
        <is>
          <t>GR Document No.</t>
        </is>
      </c>
      <c r="G1" s="8" t="inlineStr">
        <is>
          <t>Statement Amount (INR)</t>
        </is>
      </c>
      <c r="H1" s="8" t="inlineStr">
        <is>
          <t>SAP Invoice Amount (INR)</t>
        </is>
      </c>
      <c r="I1" s="8" t="inlineStr">
        <is>
          <t>SAP Payment Amount (INR)</t>
        </is>
      </c>
      <c r="J1" s="8" t="inlineStr">
        <is>
          <t>Statement Payment Amount (INR)</t>
        </is>
      </c>
      <c r="K1" s="8" t="inlineStr">
        <is>
          <t>GR/IR Status</t>
        </is>
      </c>
      <c r="L1" s="8" t="inlineStr">
        <is>
          <t>Expected Scenario</t>
        </is>
      </c>
      <c r="M1" s="8" t="inlineStr">
        <is>
          <t>Invoice Variance (INR)</t>
        </is>
      </c>
      <c r="N1" s="8" t="inlineStr">
        <is>
          <t>Payment Variance (INR)</t>
        </is>
      </c>
      <c r="O1" s="8" t="inlineStr">
        <is>
          <t>Reconciliation Status</t>
        </is>
      </c>
      <c r="P1" s="8" t="inlineStr">
        <is>
          <t>Review Date</t>
        </is>
      </c>
      <c r="Q1" s="8" t="inlineStr">
        <is>
          <t>Action Required</t>
        </is>
      </c>
    </row>
    <row r="2">
      <c r="A2" s="9" t="inlineStr">
        <is>
          <t>V1009</t>
        </is>
      </c>
      <c r="B2" s="9" t="inlineStr">
        <is>
          <t>Ironwood Consulting</t>
        </is>
      </c>
      <c r="C2" s="7" t="inlineStr">
        <is>
          <t>INV-2026-3862</t>
        </is>
      </c>
      <c r="D2" s="9" t="inlineStr">
        <is>
          <t>5107134144</t>
        </is>
      </c>
      <c r="E2" s="9" t="inlineStr">
        <is>
          <t>458135585901</t>
        </is>
      </c>
      <c r="F2" s="9" t="inlineStr"/>
      <c r="G2" s="10" t="n">
        <v>141737.21</v>
      </c>
      <c r="H2" s="10" t="n">
        <v>150784.27</v>
      </c>
      <c r="I2" s="10" t="n">
        <v>0</v>
      </c>
      <c r="J2" s="10" t="n">
        <v>0</v>
      </c>
      <c r="K2" s="9" t="inlineStr">
        <is>
          <t>Missing GR</t>
        </is>
      </c>
      <c r="L2" s="9" t="inlineStr">
        <is>
          <t>Credit Note Missing</t>
        </is>
      </c>
      <c r="M2" s="10" t="n">
        <v>-9047.059999999998</v>
      </c>
      <c r="N2" s="10" t="n">
        <v>0</v>
      </c>
      <c r="O2" s="7" t="inlineStr">
        <is>
          <t>Exception</t>
        </is>
      </c>
      <c r="P2" s="11" t="n">
        <v>46166</v>
      </c>
      <c r="Q2" s="7" t="inlineStr">
        <is>
          <t>Request/locate credit note and validate balance</t>
        </is>
      </c>
    </row>
    <row r="3">
      <c r="A3" s="9" t="inlineStr">
        <is>
          <t>V1001</t>
        </is>
      </c>
      <c r="B3" s="9" t="inlineStr">
        <is>
          <t>Aster Office Supplies</t>
        </is>
      </c>
      <c r="C3" s="7" t="inlineStr">
        <is>
          <t>INV-2026-5135</t>
        </is>
      </c>
      <c r="D3" s="9" t="inlineStr"/>
      <c r="E3" s="9" t="inlineStr">
        <is>
          <t>458741137244</t>
        </is>
      </c>
      <c r="F3" s="9" t="inlineStr">
        <is>
          <t>508405693959</t>
        </is>
      </c>
      <c r="G3" s="10" t="n">
        <v>75998.28999999999</v>
      </c>
      <c r="H3" s="10" t="n">
        <v>75998.28999999999</v>
      </c>
      <c r="I3" s="10" t="n">
        <v>0</v>
      </c>
      <c r="J3" s="10" t="n">
        <v>0</v>
      </c>
      <c r="K3" s="9" t="inlineStr">
        <is>
          <t>Not Applicable</t>
        </is>
      </c>
      <c r="L3" s="9" t="inlineStr">
        <is>
          <t>Invoice Missing in SAP</t>
        </is>
      </c>
      <c r="M3" s="10" t="n">
        <v>0</v>
      </c>
      <c r="N3" s="10" t="n">
        <v>0</v>
      </c>
      <c r="O3" s="7" t="inlineStr">
        <is>
          <t>Exception</t>
        </is>
      </c>
      <c r="P3" s="11" t="n">
        <v>46281</v>
      </c>
      <c r="Q3" s="7" t="inlineStr">
        <is>
          <t>Request invoice copy; verify before posting</t>
        </is>
      </c>
    </row>
    <row r="4">
      <c r="A4" s="9" t="inlineStr">
        <is>
          <t>V1009</t>
        </is>
      </c>
      <c r="B4" s="9" t="inlineStr">
        <is>
          <t>Ironwood Consulting</t>
        </is>
      </c>
      <c r="C4" s="7" t="inlineStr">
        <is>
          <t>INV-2025-9730</t>
        </is>
      </c>
      <c r="D4" s="9" t="inlineStr">
        <is>
          <t>5104297813</t>
        </is>
      </c>
      <c r="E4" s="9" t="inlineStr">
        <is>
          <t>456196953412</t>
        </is>
      </c>
      <c r="F4" s="9" t="inlineStr">
        <is>
          <t>503743509920</t>
        </is>
      </c>
      <c r="G4" s="10" t="n">
        <v>32759.06</v>
      </c>
      <c r="H4" s="10" t="n">
        <v>32759.06</v>
      </c>
      <c r="I4" s="10" t="n">
        <v>0</v>
      </c>
      <c r="J4" s="10" t="n">
        <v>0</v>
      </c>
      <c r="K4" s="9" t="inlineStr">
        <is>
          <t>Cleared</t>
        </is>
      </c>
      <c r="L4" s="9" t="inlineStr">
        <is>
          <t>Matched</t>
        </is>
      </c>
      <c r="M4" s="10" t="n">
        <v>0</v>
      </c>
      <c r="N4" s="10" t="n">
        <v>0</v>
      </c>
      <c r="O4" s="7" t="inlineStr">
        <is>
          <t>Matched</t>
        </is>
      </c>
      <c r="P4" s="11" t="n">
        <v>46295</v>
      </c>
      <c r="Q4" s="7" t="inlineStr">
        <is>
          <t>No action</t>
        </is>
      </c>
    </row>
    <row r="5">
      <c r="A5" s="9" t="inlineStr">
        <is>
          <t>V1002</t>
        </is>
      </c>
      <c r="B5" s="9" t="inlineStr">
        <is>
          <t>BluePeak Services</t>
        </is>
      </c>
      <c r="C5" s="7" t="inlineStr">
        <is>
          <t>INV-2026-9291</t>
        </is>
      </c>
      <c r="D5" s="9" t="inlineStr">
        <is>
          <t>5103375773</t>
        </is>
      </c>
      <c r="E5" s="9" t="inlineStr">
        <is>
          <t>455371565094</t>
        </is>
      </c>
      <c r="F5" s="9" t="inlineStr">
        <is>
          <t>502523174670</t>
        </is>
      </c>
      <c r="G5" s="10" t="n">
        <v>121311.04</v>
      </c>
      <c r="H5" s="10" t="n">
        <v>121311.04</v>
      </c>
      <c r="I5" s="10" t="n">
        <v>0</v>
      </c>
      <c r="J5" s="10" t="n">
        <v>0</v>
      </c>
      <c r="K5" s="9" t="inlineStr">
        <is>
          <t>Open</t>
        </is>
      </c>
      <c r="L5" s="9" t="inlineStr">
        <is>
          <t>GR/IR Open Item</t>
        </is>
      </c>
      <c r="M5" s="10" t="n">
        <v>0</v>
      </c>
      <c r="N5" s="10" t="n">
        <v>0</v>
      </c>
      <c r="O5" s="7" t="inlineStr">
        <is>
          <t>Exception</t>
        </is>
      </c>
      <c r="P5" s="11" t="n">
        <v>46218</v>
      </c>
      <c r="Q5" s="7" t="inlineStr">
        <is>
          <t>Review GR/IR item with Procurement/Receiving</t>
        </is>
      </c>
    </row>
    <row r="6">
      <c r="A6" s="9" t="inlineStr">
        <is>
          <t>V1008</t>
        </is>
      </c>
      <c r="B6" s="9" t="inlineStr">
        <is>
          <t>Harbor Utilities</t>
        </is>
      </c>
      <c r="C6" s="7" t="inlineStr">
        <is>
          <t>INV-2025-2918</t>
        </is>
      </c>
      <c r="D6" s="9" t="inlineStr">
        <is>
          <t>5107802455</t>
        </is>
      </c>
      <c r="E6" s="9" t="inlineStr">
        <is>
          <t>455111968117</t>
        </is>
      </c>
      <c r="F6" s="9" t="inlineStr">
        <is>
          <t>502544933329</t>
        </is>
      </c>
      <c r="G6" s="10" t="n">
        <v>112333.7</v>
      </c>
      <c r="H6" s="10" t="n">
        <v>110673.6</v>
      </c>
      <c r="I6" s="10" t="n">
        <v>0</v>
      </c>
      <c r="J6" s="10" t="n">
        <v>0</v>
      </c>
      <c r="K6" s="9" t="inlineStr">
        <is>
          <t>Cleared</t>
        </is>
      </c>
      <c r="L6" s="9" t="inlineStr">
        <is>
          <t>Amount Variance</t>
        </is>
      </c>
      <c r="M6" s="10" t="n">
        <v>1660.099999999991</v>
      </c>
      <c r="N6" s="10" t="n">
        <v>0</v>
      </c>
      <c r="O6" s="7" t="inlineStr">
        <is>
          <t>Exception</t>
        </is>
      </c>
      <c r="P6" s="11" t="n">
        <v>46300</v>
      </c>
      <c r="Q6" s="7" t="inlineStr">
        <is>
          <t>Compare invoice, PO and tax/charges</t>
        </is>
      </c>
    </row>
    <row r="7">
      <c r="A7" s="9" t="inlineStr">
        <is>
          <t>V1005</t>
        </is>
      </c>
      <c r="B7" s="9" t="inlineStr">
        <is>
          <t>Evergreen IT Services</t>
        </is>
      </c>
      <c r="C7" s="7" t="inlineStr">
        <is>
          <t>INV-2025-5098</t>
        </is>
      </c>
      <c r="D7" s="9" t="inlineStr"/>
      <c r="E7" s="9" t="inlineStr">
        <is>
          <t>459231430339</t>
        </is>
      </c>
      <c r="F7" s="9" t="inlineStr"/>
      <c r="G7" s="10" t="n">
        <v>140311.53</v>
      </c>
      <c r="H7" s="10" t="n">
        <v>140311.53</v>
      </c>
      <c r="I7" s="10" t="n">
        <v>0</v>
      </c>
      <c r="J7" s="10" t="n">
        <v>0</v>
      </c>
      <c r="K7" s="9" t="inlineStr">
        <is>
          <t>Missing GR</t>
        </is>
      </c>
      <c r="L7" s="9" t="inlineStr">
        <is>
          <t>Invoice Missing in SAP</t>
        </is>
      </c>
      <c r="M7" s="10" t="n">
        <v>0</v>
      </c>
      <c r="N7" s="10" t="n">
        <v>0</v>
      </c>
      <c r="O7" s="7" t="inlineStr">
        <is>
          <t>Exception</t>
        </is>
      </c>
      <c r="P7" s="11" t="n">
        <v>46134</v>
      </c>
      <c r="Q7" s="7" t="inlineStr">
        <is>
          <t>Request invoice copy; verify before posting</t>
        </is>
      </c>
    </row>
    <row r="8">
      <c r="A8" s="9" t="inlineStr">
        <is>
          <t>V1006</t>
        </is>
      </c>
      <c r="B8" s="9" t="inlineStr">
        <is>
          <t>Fairview Logistics</t>
        </is>
      </c>
      <c r="C8" s="7" t="inlineStr">
        <is>
          <t>INV-2026-1159</t>
        </is>
      </c>
      <c r="D8" s="9" t="inlineStr">
        <is>
          <t>5105573095</t>
        </is>
      </c>
      <c r="E8" s="9" t="inlineStr"/>
      <c r="F8" s="9" t="inlineStr">
        <is>
          <t>505377495664</t>
        </is>
      </c>
      <c r="G8" s="10" t="n">
        <v>168900.21</v>
      </c>
      <c r="H8" s="10" t="n">
        <v>168900.21</v>
      </c>
      <c r="I8" s="10" t="n">
        <v>0</v>
      </c>
      <c r="J8" s="10" t="n">
        <v>0</v>
      </c>
      <c r="K8" s="9" t="inlineStr">
        <is>
          <t>Cleared</t>
        </is>
      </c>
      <c r="L8" s="9" t="inlineStr">
        <is>
          <t>Matched</t>
        </is>
      </c>
      <c r="M8" s="10" t="n">
        <v>0</v>
      </c>
      <c r="N8" s="10" t="n">
        <v>0</v>
      </c>
      <c r="O8" s="7" t="inlineStr">
        <is>
          <t>Matched</t>
        </is>
      </c>
      <c r="P8" s="11" t="n">
        <v>46102</v>
      </c>
      <c r="Q8" s="7" t="inlineStr">
        <is>
          <t>No action</t>
        </is>
      </c>
    </row>
    <row r="9">
      <c r="A9" s="9" t="inlineStr">
        <is>
          <t>V1008</t>
        </is>
      </c>
      <c r="B9" s="9" t="inlineStr">
        <is>
          <t>Harbor Utilities</t>
        </is>
      </c>
      <c r="C9" s="7" t="inlineStr">
        <is>
          <t>INV-2026-2229</t>
        </is>
      </c>
      <c r="D9" s="9" t="inlineStr">
        <is>
          <t>5106197381</t>
        </is>
      </c>
      <c r="E9" s="9" t="inlineStr">
        <is>
          <t>453082654792</t>
        </is>
      </c>
      <c r="F9" s="9" t="inlineStr">
        <is>
          <t>505889357320</t>
        </is>
      </c>
      <c r="G9" s="10" t="n">
        <v>137030.25</v>
      </c>
      <c r="H9" s="10" t="n">
        <v>137030.25</v>
      </c>
      <c r="I9" s="10" t="n">
        <v>0</v>
      </c>
      <c r="J9" s="10" t="n">
        <v>0</v>
      </c>
      <c r="K9" s="9" t="inlineStr">
        <is>
          <t>Cleared</t>
        </is>
      </c>
      <c r="L9" s="9" t="inlineStr">
        <is>
          <t>Matched</t>
        </is>
      </c>
      <c r="M9" s="10" t="n">
        <v>0</v>
      </c>
      <c r="N9" s="10" t="n">
        <v>0</v>
      </c>
      <c r="O9" s="7" t="inlineStr">
        <is>
          <t>Matched</t>
        </is>
      </c>
      <c r="P9" s="11" t="n">
        <v>46176</v>
      </c>
      <c r="Q9" s="7" t="inlineStr">
        <is>
          <t>No action</t>
        </is>
      </c>
    </row>
    <row r="10">
      <c r="A10" s="9" t="inlineStr">
        <is>
          <t>V1010</t>
        </is>
      </c>
      <c r="B10" s="9" t="inlineStr">
        <is>
          <t>Juniper Components</t>
        </is>
      </c>
      <c r="C10" s="7" t="inlineStr">
        <is>
          <t>INV-2025-2808</t>
        </is>
      </c>
      <c r="D10" s="9" t="inlineStr">
        <is>
          <t>5105218101</t>
        </is>
      </c>
      <c r="E10" s="9" t="inlineStr">
        <is>
          <t>452357902600</t>
        </is>
      </c>
      <c r="F10" s="9" t="inlineStr"/>
      <c r="G10" s="10" t="n">
        <v>38015.21</v>
      </c>
      <c r="H10" s="10" t="n">
        <v>40441.71</v>
      </c>
      <c r="I10" s="10" t="n">
        <v>0</v>
      </c>
      <c r="J10" s="10" t="n">
        <v>0</v>
      </c>
      <c r="K10" s="9" t="inlineStr">
        <is>
          <t>Missing GR</t>
        </is>
      </c>
      <c r="L10" s="9" t="inlineStr">
        <is>
          <t>Credit Note Missing</t>
        </is>
      </c>
      <c r="M10" s="10" t="n">
        <v>-2426.5</v>
      </c>
      <c r="N10" s="10" t="n">
        <v>0</v>
      </c>
      <c r="O10" s="7" t="inlineStr">
        <is>
          <t>Exception</t>
        </is>
      </c>
      <c r="P10" s="11" t="n">
        <v>46051</v>
      </c>
      <c r="Q10" s="7" t="inlineStr">
        <is>
          <t>Request/locate credit note and validate balance</t>
        </is>
      </c>
    </row>
    <row r="11">
      <c r="A11" s="9" t="inlineStr">
        <is>
          <t>V1007</t>
        </is>
      </c>
      <c r="B11" s="9" t="inlineStr">
        <is>
          <t>Granite Manufacturing</t>
        </is>
      </c>
      <c r="C11" s="7" t="inlineStr">
        <is>
          <t>INV-2026-7613</t>
        </is>
      </c>
      <c r="D11" s="9" t="inlineStr">
        <is>
          <t>5106231725</t>
        </is>
      </c>
      <c r="E11" s="9" t="inlineStr">
        <is>
          <t>453328475490</t>
        </is>
      </c>
      <c r="F11" s="9" t="inlineStr">
        <is>
          <t>505206055951</t>
        </is>
      </c>
      <c r="G11" s="10" t="n">
        <v>130365.53</v>
      </c>
      <c r="H11" s="10" t="n">
        <v>130365.53</v>
      </c>
      <c r="I11" s="10" t="n">
        <v>0</v>
      </c>
      <c r="J11" s="10" t="n">
        <v>0</v>
      </c>
      <c r="K11" s="9" t="inlineStr">
        <is>
          <t>Not Applicable</t>
        </is>
      </c>
      <c r="L11" s="9" t="inlineStr">
        <is>
          <t>Matched</t>
        </is>
      </c>
      <c r="M11" s="10" t="n">
        <v>0</v>
      </c>
      <c r="N11" s="10" t="n">
        <v>0</v>
      </c>
      <c r="O11" s="7" t="inlineStr">
        <is>
          <t>Matched</t>
        </is>
      </c>
      <c r="P11" s="11" t="n">
        <v>46108</v>
      </c>
      <c r="Q11" s="7" t="inlineStr">
        <is>
          <t>No action</t>
        </is>
      </c>
    </row>
    <row r="12">
      <c r="A12" s="9" t="inlineStr">
        <is>
          <t>V1005</t>
        </is>
      </c>
      <c r="B12" s="9" t="inlineStr">
        <is>
          <t>Evergreen IT Services</t>
        </is>
      </c>
      <c r="C12" s="7" t="inlineStr">
        <is>
          <t>INV-2026-7435</t>
        </is>
      </c>
      <c r="D12" s="9" t="inlineStr">
        <is>
          <t>5101825710</t>
        </is>
      </c>
      <c r="E12" s="9" t="inlineStr">
        <is>
          <t>457987090872</t>
        </is>
      </c>
      <c r="F12" s="9" t="inlineStr"/>
      <c r="G12" s="10" t="n">
        <v>149842.92</v>
      </c>
      <c r="H12" s="10" t="n">
        <v>149842.92</v>
      </c>
      <c r="I12" s="10" t="n">
        <v>0</v>
      </c>
      <c r="J12" s="10" t="n">
        <v>0</v>
      </c>
      <c r="K12" s="9" t="inlineStr">
        <is>
          <t>Missing GR</t>
        </is>
      </c>
      <c r="L12" s="9" t="inlineStr">
        <is>
          <t>Matched</t>
        </is>
      </c>
      <c r="M12" s="10" t="n">
        <v>0</v>
      </c>
      <c r="N12" s="10" t="n">
        <v>0</v>
      </c>
      <c r="O12" s="7" t="inlineStr">
        <is>
          <t>Matched</t>
        </is>
      </c>
      <c r="P12" s="11" t="n">
        <v>46256</v>
      </c>
      <c r="Q12" s="7" t="inlineStr">
        <is>
          <t>No action</t>
        </is>
      </c>
    </row>
    <row r="13">
      <c r="A13" s="9" t="inlineStr">
        <is>
          <t>V1008</t>
        </is>
      </c>
      <c r="B13" s="9" t="inlineStr">
        <is>
          <t>Harbor Utilities</t>
        </is>
      </c>
      <c r="C13" s="7" t="inlineStr">
        <is>
          <t>INV-2026-4093</t>
        </is>
      </c>
      <c r="D13" s="9" t="inlineStr"/>
      <c r="E13" s="9" t="inlineStr">
        <is>
          <t>453569079907</t>
        </is>
      </c>
      <c r="F13" s="9" t="inlineStr">
        <is>
          <t>507525962735</t>
        </is>
      </c>
      <c r="G13" s="10" t="n">
        <v>48543.82</v>
      </c>
      <c r="H13" s="10" t="n">
        <v>48543.82</v>
      </c>
      <c r="I13" s="10" t="n">
        <v>0</v>
      </c>
      <c r="J13" s="10" t="n">
        <v>0</v>
      </c>
      <c r="K13" s="9" t="inlineStr">
        <is>
          <t>Not Applicable</t>
        </is>
      </c>
      <c r="L13" s="9" t="inlineStr">
        <is>
          <t>Invoice Missing in SAP</t>
        </is>
      </c>
      <c r="M13" s="10" t="n">
        <v>0</v>
      </c>
      <c r="N13" s="10" t="n">
        <v>0</v>
      </c>
      <c r="O13" s="7" t="inlineStr">
        <is>
          <t>Exception</t>
        </is>
      </c>
      <c r="P13" s="11" t="n">
        <v>46179</v>
      </c>
      <c r="Q13" s="7" t="inlineStr">
        <is>
          <t>Request invoice copy; verify before posting</t>
        </is>
      </c>
    </row>
    <row r="14">
      <c r="A14" s="9" t="inlineStr">
        <is>
          <t>V1006</t>
        </is>
      </c>
      <c r="B14" s="9" t="inlineStr">
        <is>
          <t>Fairview Logistics</t>
        </is>
      </c>
      <c r="C14" s="7" t="inlineStr">
        <is>
          <t>INV-2026-7028</t>
        </is>
      </c>
      <c r="D14" s="9" t="inlineStr">
        <is>
          <t>5104877201</t>
        </is>
      </c>
      <c r="E14" s="9" t="inlineStr"/>
      <c r="F14" s="9" t="inlineStr">
        <is>
          <t>506201476158</t>
        </is>
      </c>
      <c r="G14" s="10" t="n">
        <v>172567.01</v>
      </c>
      <c r="H14" s="10" t="n">
        <v>172567.01</v>
      </c>
      <c r="I14" s="10" t="n">
        <v>0</v>
      </c>
      <c r="J14" s="10" t="n">
        <v>0</v>
      </c>
      <c r="K14" s="9" t="inlineStr">
        <is>
          <t>Cleared</t>
        </is>
      </c>
      <c r="L14" s="9" t="inlineStr">
        <is>
          <t>Matched</t>
        </is>
      </c>
      <c r="M14" s="10" t="n">
        <v>0</v>
      </c>
      <c r="N14" s="10" t="n">
        <v>0</v>
      </c>
      <c r="O14" s="7" t="inlineStr">
        <is>
          <t>Matched</t>
        </is>
      </c>
      <c r="P14" s="11" t="n">
        <v>46080</v>
      </c>
      <c r="Q14" s="7" t="inlineStr">
        <is>
          <t>No action</t>
        </is>
      </c>
    </row>
    <row r="15">
      <c r="A15" s="9" t="inlineStr">
        <is>
          <t>V1008</t>
        </is>
      </c>
      <c r="B15" s="9" t="inlineStr">
        <is>
          <t>Harbor Utilities</t>
        </is>
      </c>
      <c r="C15" s="7" t="inlineStr">
        <is>
          <t>INV-2025-4147</t>
        </is>
      </c>
      <c r="D15" s="9" t="inlineStr">
        <is>
          <t>5109779623</t>
        </is>
      </c>
      <c r="E15" s="9" t="inlineStr">
        <is>
          <t>456062699679</t>
        </is>
      </c>
      <c r="F15" s="9" t="inlineStr">
        <is>
          <t>507654505866</t>
        </is>
      </c>
      <c r="G15" s="10" t="n">
        <v>99798.62</v>
      </c>
      <c r="H15" s="10" t="n">
        <v>99798.62</v>
      </c>
      <c r="I15" s="10" t="n">
        <v>0</v>
      </c>
      <c r="J15" s="10" t="n">
        <v>0</v>
      </c>
      <c r="K15" s="9" t="inlineStr">
        <is>
          <t>Cleared</t>
        </is>
      </c>
      <c r="L15" s="9" t="inlineStr">
        <is>
          <t>Matched</t>
        </is>
      </c>
      <c r="M15" s="10" t="n">
        <v>0</v>
      </c>
      <c r="N15" s="10" t="n">
        <v>0</v>
      </c>
      <c r="O15" s="7" t="inlineStr">
        <is>
          <t>Matched</t>
        </is>
      </c>
      <c r="P15" s="11" t="n">
        <v>46107</v>
      </c>
      <c r="Q15" s="7" t="inlineStr">
        <is>
          <t>No action</t>
        </is>
      </c>
    </row>
    <row r="16">
      <c r="A16" s="9" t="inlineStr">
        <is>
          <t>V1005</t>
        </is>
      </c>
      <c r="B16" s="9" t="inlineStr">
        <is>
          <t>Evergreen IT Services</t>
        </is>
      </c>
      <c r="C16" s="7" t="inlineStr">
        <is>
          <t>INV-2026-6527</t>
        </is>
      </c>
      <c r="D16" s="9" t="inlineStr">
        <is>
          <t>5101137349</t>
        </is>
      </c>
      <c r="E16" s="9" t="inlineStr"/>
      <c r="F16" s="9" t="inlineStr"/>
      <c r="G16" s="10" t="n">
        <v>40575.93</v>
      </c>
      <c r="H16" s="10" t="n">
        <v>40575.93</v>
      </c>
      <c r="I16" s="10" t="n">
        <v>40575.93</v>
      </c>
      <c r="J16" s="10" t="n">
        <v>0</v>
      </c>
      <c r="K16" s="9" t="inlineStr">
        <is>
          <t>Not Applicable</t>
        </is>
      </c>
      <c r="L16" s="9" t="inlineStr">
        <is>
          <t>Payment Missing in Statement</t>
        </is>
      </c>
      <c r="M16" s="10" t="n">
        <v>0</v>
      </c>
      <c r="N16" s="10" t="n">
        <v>40575.93</v>
      </c>
      <c r="O16" s="7" t="inlineStr">
        <is>
          <t>Exception</t>
        </is>
      </c>
      <c r="P16" s="11" t="n">
        <v>46070</v>
      </c>
      <c r="Q16" s="7" t="inlineStr">
        <is>
          <t>Check remittance advice and vendor statement</t>
        </is>
      </c>
    </row>
    <row r="17">
      <c r="A17" s="9" t="inlineStr">
        <is>
          <t>V1009</t>
        </is>
      </c>
      <c r="B17" s="9" t="inlineStr">
        <is>
          <t>Ironwood Consulting</t>
        </is>
      </c>
      <c r="C17" s="7" t="inlineStr">
        <is>
          <t>INV-2026-4343</t>
        </is>
      </c>
      <c r="D17" s="9" t="inlineStr">
        <is>
          <t>5108914017</t>
        </is>
      </c>
      <c r="E17" s="9" t="inlineStr">
        <is>
          <t>455407317102</t>
        </is>
      </c>
      <c r="F17" s="9" t="inlineStr">
        <is>
          <t>503788732124</t>
        </is>
      </c>
      <c r="G17" s="10" t="n">
        <v>12878.86</v>
      </c>
      <c r="H17" s="10" t="n">
        <v>12878.86</v>
      </c>
      <c r="I17" s="10" t="n">
        <v>0</v>
      </c>
      <c r="J17" s="10" t="n">
        <v>0</v>
      </c>
      <c r="K17" s="9" t="inlineStr">
        <is>
          <t>Cleared</t>
        </is>
      </c>
      <c r="L17" s="9" t="inlineStr">
        <is>
          <t>Matched</t>
        </is>
      </c>
      <c r="M17" s="10" t="n">
        <v>0</v>
      </c>
      <c r="N17" s="10" t="n">
        <v>0</v>
      </c>
      <c r="O17" s="7" t="inlineStr">
        <is>
          <t>Matched</t>
        </is>
      </c>
      <c r="P17" s="11" t="n">
        <v>46049</v>
      </c>
      <c r="Q17" s="7" t="inlineStr">
        <is>
          <t>No action</t>
        </is>
      </c>
    </row>
    <row r="18">
      <c r="A18" s="9" t="inlineStr">
        <is>
          <t>V1002</t>
        </is>
      </c>
      <c r="B18" s="9" t="inlineStr">
        <is>
          <t>BluePeak Services</t>
        </is>
      </c>
      <c r="C18" s="7" t="inlineStr">
        <is>
          <t>INV-2025-9826</t>
        </is>
      </c>
      <c r="D18" s="9" t="inlineStr">
        <is>
          <t>5102003604</t>
        </is>
      </c>
      <c r="E18" s="9" t="inlineStr">
        <is>
          <t>456827831597</t>
        </is>
      </c>
      <c r="F18" s="9" t="inlineStr">
        <is>
          <t>507084444394</t>
        </is>
      </c>
      <c r="G18" s="10" t="n">
        <v>166585.84</v>
      </c>
      <c r="H18" s="10" t="n">
        <v>177218.98</v>
      </c>
      <c r="I18" s="10" t="n">
        <v>0</v>
      </c>
      <c r="J18" s="10" t="n">
        <v>0</v>
      </c>
      <c r="K18" s="9" t="inlineStr">
        <is>
          <t>Cleared</t>
        </is>
      </c>
      <c r="L18" s="9" t="inlineStr">
        <is>
          <t>Credit Note Missing</t>
        </is>
      </c>
      <c r="M18" s="10" t="n">
        <v>-10633.14000000001</v>
      </c>
      <c r="N18" s="10" t="n">
        <v>0</v>
      </c>
      <c r="O18" s="7" t="inlineStr">
        <is>
          <t>Exception</t>
        </is>
      </c>
      <c r="P18" s="11" t="n">
        <v>46126</v>
      </c>
      <c r="Q18" s="7" t="inlineStr">
        <is>
          <t>Request/locate credit note and validate balance</t>
        </is>
      </c>
    </row>
    <row r="19">
      <c r="A19" s="9" t="inlineStr">
        <is>
          <t>V1009</t>
        </is>
      </c>
      <c r="B19" s="9" t="inlineStr">
        <is>
          <t>Ironwood Consulting</t>
        </is>
      </c>
      <c r="C19" s="7" t="inlineStr">
        <is>
          <t>INV-2026-6331</t>
        </is>
      </c>
      <c r="D19" s="9" t="inlineStr">
        <is>
          <t>5101562467</t>
        </is>
      </c>
      <c r="E19" s="9" t="inlineStr">
        <is>
          <t>452435581055</t>
        </is>
      </c>
      <c r="F19" s="9" t="inlineStr">
        <is>
          <t>506511771890</t>
        </is>
      </c>
      <c r="G19" s="10" t="n">
        <v>22991.86</v>
      </c>
      <c r="H19" s="10" t="n">
        <v>22322.19</v>
      </c>
      <c r="I19" s="10" t="n">
        <v>0</v>
      </c>
      <c r="J19" s="10" t="n">
        <v>0</v>
      </c>
      <c r="K19" s="9" t="inlineStr">
        <is>
          <t>Not Applicable</t>
        </is>
      </c>
      <c r="L19" s="9" t="inlineStr">
        <is>
          <t>Amount Variance</t>
        </is>
      </c>
      <c r="M19" s="10" t="n">
        <v>669.6700000000019</v>
      </c>
      <c r="N19" s="10" t="n">
        <v>0</v>
      </c>
      <c r="O19" s="7" t="inlineStr">
        <is>
          <t>Exception</t>
        </is>
      </c>
      <c r="P19" s="11" t="n">
        <v>46126</v>
      </c>
      <c r="Q19" s="7" t="inlineStr">
        <is>
          <t>Compare invoice, PO and tax/charges</t>
        </is>
      </c>
    </row>
    <row r="20">
      <c r="A20" s="9" t="inlineStr">
        <is>
          <t>V1004</t>
        </is>
      </c>
      <c r="B20" s="9" t="inlineStr">
        <is>
          <t>Delta Facilities</t>
        </is>
      </c>
      <c r="C20" s="7" t="inlineStr">
        <is>
          <t>INV-2025-8910</t>
        </is>
      </c>
      <c r="D20" s="9" t="inlineStr">
        <is>
          <t>5106209613</t>
        </is>
      </c>
      <c r="E20" s="9" t="inlineStr">
        <is>
          <t>452261925626</t>
        </is>
      </c>
      <c r="F20" s="9" t="inlineStr">
        <is>
          <t>503401836768</t>
        </is>
      </c>
      <c r="G20" s="10" t="n">
        <v>128526.15</v>
      </c>
      <c r="H20" s="10" t="n">
        <v>128526.15</v>
      </c>
      <c r="I20" s="10" t="n">
        <v>0</v>
      </c>
      <c r="J20" s="10" t="n">
        <v>0</v>
      </c>
      <c r="K20" s="9" t="inlineStr">
        <is>
          <t>Not Applicable</t>
        </is>
      </c>
      <c r="L20" s="9" t="inlineStr">
        <is>
          <t>Matched</t>
        </is>
      </c>
      <c r="M20" s="10" t="n">
        <v>0</v>
      </c>
      <c r="N20" s="10" t="n">
        <v>0</v>
      </c>
      <c r="O20" s="7" t="inlineStr">
        <is>
          <t>Matched</t>
        </is>
      </c>
      <c r="P20" s="11" t="n">
        <v>46142</v>
      </c>
      <c r="Q20" s="7" t="inlineStr">
        <is>
          <t>No action</t>
        </is>
      </c>
    </row>
    <row r="21">
      <c r="A21" s="9" t="inlineStr">
        <is>
          <t>V1009</t>
        </is>
      </c>
      <c r="B21" s="9" t="inlineStr">
        <is>
          <t>Ironwood Consulting</t>
        </is>
      </c>
      <c r="C21" s="7" t="inlineStr">
        <is>
          <t>INV-2025-4869</t>
        </is>
      </c>
      <c r="D21" s="9" t="inlineStr">
        <is>
          <t>5107830731</t>
        </is>
      </c>
      <c r="E21" s="9" t="inlineStr"/>
      <c r="F21" s="9" t="inlineStr">
        <is>
          <t>504341579919</t>
        </is>
      </c>
      <c r="G21" s="10" t="n">
        <v>93386.22</v>
      </c>
      <c r="H21" s="10" t="n">
        <v>95292.06</v>
      </c>
      <c r="I21" s="10" t="n">
        <v>0</v>
      </c>
      <c r="J21" s="10" t="n">
        <v>0</v>
      </c>
      <c r="K21" s="9" t="inlineStr">
        <is>
          <t>Cleared</t>
        </is>
      </c>
      <c r="L21" s="9" t="inlineStr">
        <is>
          <t>Amount Variance</t>
        </is>
      </c>
      <c r="M21" s="10" t="n">
        <v>-1905.839999999997</v>
      </c>
      <c r="N21" s="10" t="n">
        <v>0</v>
      </c>
      <c r="O21" s="7" t="inlineStr">
        <is>
          <t>Exception</t>
        </is>
      </c>
      <c r="P21" s="11" t="n">
        <v>46212</v>
      </c>
      <c r="Q21" s="7" t="inlineStr">
        <is>
          <t>Compare invoice, PO and tax/charges</t>
        </is>
      </c>
    </row>
    <row r="22">
      <c r="A22" s="9" t="inlineStr">
        <is>
          <t>V1006</t>
        </is>
      </c>
      <c r="B22" s="9" t="inlineStr">
        <is>
          <t>Fairview Logistics</t>
        </is>
      </c>
      <c r="C22" s="7" t="inlineStr">
        <is>
          <t>INV-2026-4974</t>
        </is>
      </c>
      <c r="D22" s="9" t="inlineStr">
        <is>
          <t>5103155967</t>
        </is>
      </c>
      <c r="E22" s="9" t="inlineStr">
        <is>
          <t>453157677074</t>
        </is>
      </c>
      <c r="F22" s="9" t="inlineStr">
        <is>
          <t>503729315984</t>
        </is>
      </c>
      <c r="G22" s="10" t="n">
        <v>140811.82</v>
      </c>
      <c r="H22" s="10" t="n">
        <v>140811.82</v>
      </c>
      <c r="I22" s="10" t="n">
        <v>0</v>
      </c>
      <c r="J22" s="10" t="n">
        <v>0</v>
      </c>
      <c r="K22" s="9" t="inlineStr">
        <is>
          <t>Open</t>
        </is>
      </c>
      <c r="L22" s="9" t="inlineStr">
        <is>
          <t>GR/IR Open Item</t>
        </is>
      </c>
      <c r="M22" s="10" t="n">
        <v>0</v>
      </c>
      <c r="N22" s="10" t="n">
        <v>0</v>
      </c>
      <c r="O22" s="7" t="inlineStr">
        <is>
          <t>Exception</t>
        </is>
      </c>
      <c r="P22" s="11" t="n">
        <v>46289</v>
      </c>
      <c r="Q22" s="7" t="inlineStr">
        <is>
          <t>Review GR/IR item with Procurement/Receiving</t>
        </is>
      </c>
    </row>
    <row r="23">
      <c r="A23" s="9" t="inlineStr">
        <is>
          <t>V1006</t>
        </is>
      </c>
      <c r="B23" s="9" t="inlineStr">
        <is>
          <t>Fairview Logistics</t>
        </is>
      </c>
      <c r="C23" s="7" t="inlineStr">
        <is>
          <t>INV-2026-4994</t>
        </is>
      </c>
      <c r="D23" s="9" t="inlineStr">
        <is>
          <t>5102452516</t>
        </is>
      </c>
      <c r="E23" s="9" t="inlineStr"/>
      <c r="F23" s="9" t="inlineStr">
        <is>
          <t>505607710755</t>
        </is>
      </c>
      <c r="G23" s="10" t="n">
        <v>21603.9</v>
      </c>
      <c r="H23" s="10" t="n">
        <v>21603.9</v>
      </c>
      <c r="I23" s="10" t="n">
        <v>0</v>
      </c>
      <c r="J23" s="10" t="n">
        <v>0</v>
      </c>
      <c r="K23" s="9" t="inlineStr">
        <is>
          <t>Open</t>
        </is>
      </c>
      <c r="L23" s="9" t="inlineStr">
        <is>
          <t>GR/IR Open Item</t>
        </is>
      </c>
      <c r="M23" s="10" t="n">
        <v>0</v>
      </c>
      <c r="N23" s="10" t="n">
        <v>0</v>
      </c>
      <c r="O23" s="7" t="inlineStr">
        <is>
          <t>Exception</t>
        </is>
      </c>
      <c r="P23" s="11" t="n">
        <v>46169</v>
      </c>
      <c r="Q23" s="7" t="inlineStr">
        <is>
          <t>Review GR/IR item with Procurement/Receiving</t>
        </is>
      </c>
    </row>
    <row r="24">
      <c r="A24" s="9" t="inlineStr">
        <is>
          <t>V1006</t>
        </is>
      </c>
      <c r="B24" s="9" t="inlineStr">
        <is>
          <t>Fairview Logistics</t>
        </is>
      </c>
      <c r="C24" s="7" t="inlineStr">
        <is>
          <t>INV-2026-6051</t>
        </is>
      </c>
      <c r="D24" s="9" t="inlineStr">
        <is>
          <t>5103508129</t>
        </is>
      </c>
      <c r="E24" s="9" t="inlineStr">
        <is>
          <t>453715651849</t>
        </is>
      </c>
      <c r="F24" s="9" t="inlineStr">
        <is>
          <t>502105739399</t>
        </is>
      </c>
      <c r="G24" s="10" t="n">
        <v>64878.54</v>
      </c>
      <c r="H24" s="10" t="n">
        <v>64878.54</v>
      </c>
      <c r="I24" s="10" t="n">
        <v>0</v>
      </c>
      <c r="J24" s="10" t="n">
        <v>0</v>
      </c>
      <c r="K24" s="9" t="inlineStr">
        <is>
          <t>Open</t>
        </is>
      </c>
      <c r="L24" s="9" t="inlineStr">
        <is>
          <t>GR/IR Open Item</t>
        </is>
      </c>
      <c r="M24" s="10" t="n">
        <v>0</v>
      </c>
      <c r="N24" s="10" t="n">
        <v>0</v>
      </c>
      <c r="O24" s="7" t="inlineStr">
        <is>
          <t>Exception</t>
        </is>
      </c>
      <c r="P24" s="11" t="n">
        <v>46275</v>
      </c>
      <c r="Q24" s="7" t="inlineStr">
        <is>
          <t>Review GR/IR item with Procurement/Receiving</t>
        </is>
      </c>
    </row>
    <row r="25">
      <c r="A25" s="9" t="inlineStr">
        <is>
          <t>V1004</t>
        </is>
      </c>
      <c r="B25" s="9" t="inlineStr">
        <is>
          <t>Delta Facilities</t>
        </is>
      </c>
      <c r="C25" s="7" t="inlineStr">
        <is>
          <t>INV-2026-8146</t>
        </is>
      </c>
      <c r="D25" s="9" t="inlineStr"/>
      <c r="E25" s="9" t="inlineStr">
        <is>
          <t>455058294514</t>
        </is>
      </c>
      <c r="F25" s="9" t="inlineStr"/>
      <c r="G25" s="10" t="n">
        <v>104394.28</v>
      </c>
      <c r="H25" s="10" t="n">
        <v>104394.28</v>
      </c>
      <c r="I25" s="10" t="n">
        <v>0</v>
      </c>
      <c r="J25" s="10" t="n">
        <v>0</v>
      </c>
      <c r="K25" s="9" t="inlineStr">
        <is>
          <t>Missing GR</t>
        </is>
      </c>
      <c r="L25" s="9" t="inlineStr">
        <is>
          <t>Invoice Missing in SAP</t>
        </is>
      </c>
      <c r="M25" s="10" t="n">
        <v>0</v>
      </c>
      <c r="N25" s="10" t="n">
        <v>0</v>
      </c>
      <c r="O25" s="7" t="inlineStr">
        <is>
          <t>Exception</t>
        </is>
      </c>
      <c r="P25" s="11" t="n">
        <v>46023</v>
      </c>
      <c r="Q25" s="7" t="inlineStr">
        <is>
          <t>Request invoice copy; verify before posting</t>
        </is>
      </c>
    </row>
    <row r="26">
      <c r="A26" s="9" t="inlineStr">
        <is>
          <t>V1004</t>
        </is>
      </c>
      <c r="B26" s="9" t="inlineStr">
        <is>
          <t>Delta Facilities</t>
        </is>
      </c>
      <c r="C26" s="7" t="inlineStr">
        <is>
          <t>INV-2026-9061</t>
        </is>
      </c>
      <c r="D26" s="9" t="inlineStr">
        <is>
          <t>5102008048</t>
        </is>
      </c>
      <c r="E26" s="9" t="inlineStr">
        <is>
          <t>457915075270</t>
        </is>
      </c>
      <c r="F26" s="9" t="inlineStr">
        <is>
          <t>502781999354</t>
        </is>
      </c>
      <c r="G26" s="10" t="n">
        <v>10412.12</v>
      </c>
      <c r="H26" s="10" t="n">
        <v>10108.85</v>
      </c>
      <c r="I26" s="10" t="n">
        <v>0</v>
      </c>
      <c r="J26" s="10" t="n">
        <v>0</v>
      </c>
      <c r="K26" s="9" t="inlineStr">
        <is>
          <t>Not Applicable</t>
        </is>
      </c>
      <c r="L26" s="9" t="inlineStr">
        <is>
          <t>Amount Variance</t>
        </is>
      </c>
      <c r="M26" s="10" t="n">
        <v>303.2700000000004</v>
      </c>
      <c r="N26" s="10" t="n">
        <v>0</v>
      </c>
      <c r="O26" s="7" t="inlineStr">
        <is>
          <t>Exception</t>
        </is>
      </c>
      <c r="P26" s="11" t="n">
        <v>46057</v>
      </c>
      <c r="Q26" s="7" t="inlineStr">
        <is>
          <t>Compare invoice, PO and tax/charges</t>
        </is>
      </c>
    </row>
    <row r="27">
      <c r="A27" s="9" t="inlineStr">
        <is>
          <t>V1006</t>
        </is>
      </c>
      <c r="B27" s="9" t="inlineStr">
        <is>
          <t>Fairview Logistics</t>
        </is>
      </c>
      <c r="C27" s="7" t="inlineStr">
        <is>
          <t>INV-2026-2168</t>
        </is>
      </c>
      <c r="D27" s="9" t="inlineStr"/>
      <c r="E27" s="9" t="inlineStr">
        <is>
          <t>456143773307</t>
        </is>
      </c>
      <c r="F27" s="9" t="inlineStr">
        <is>
          <t>504358925979</t>
        </is>
      </c>
      <c r="G27" s="10" t="n">
        <v>48707.04</v>
      </c>
      <c r="H27" s="10" t="n">
        <v>48707.04</v>
      </c>
      <c r="I27" s="10" t="n">
        <v>0</v>
      </c>
      <c r="J27" s="10" t="n">
        <v>0</v>
      </c>
      <c r="K27" s="9" t="inlineStr">
        <is>
          <t>Cleared</t>
        </is>
      </c>
      <c r="L27" s="9" t="inlineStr">
        <is>
          <t>Invoice Missing in SAP</t>
        </is>
      </c>
      <c r="M27" s="10" t="n">
        <v>0</v>
      </c>
      <c r="N27" s="10" t="n">
        <v>0</v>
      </c>
      <c r="O27" s="7" t="inlineStr">
        <is>
          <t>Exception</t>
        </is>
      </c>
      <c r="P27" s="11" t="n">
        <v>46243</v>
      </c>
      <c r="Q27" s="7" t="inlineStr">
        <is>
          <t>Request invoice copy; verify before posting</t>
        </is>
      </c>
    </row>
    <row r="28">
      <c r="A28" s="9" t="inlineStr">
        <is>
          <t>V1008</t>
        </is>
      </c>
      <c r="B28" s="9" t="inlineStr">
        <is>
          <t>Harbor Utilities</t>
        </is>
      </c>
      <c r="C28" s="7" t="inlineStr">
        <is>
          <t>INV-2025-4861</t>
        </is>
      </c>
      <c r="D28" s="9" t="inlineStr">
        <is>
          <t>5102473994</t>
        </is>
      </c>
      <c r="E28" s="9" t="inlineStr">
        <is>
          <t>458593441133</t>
        </is>
      </c>
      <c r="F28" s="9" t="inlineStr"/>
      <c r="G28" s="10" t="n">
        <v>152071.83</v>
      </c>
      <c r="H28" s="10" t="n">
        <v>152071.83</v>
      </c>
      <c r="I28" s="10" t="n">
        <v>0</v>
      </c>
      <c r="J28" s="10" t="n">
        <v>0</v>
      </c>
      <c r="K28" s="9" t="inlineStr">
        <is>
          <t>Missing GR</t>
        </is>
      </c>
      <c r="L28" s="9" t="inlineStr">
        <is>
          <t>GR/IR Open Item</t>
        </is>
      </c>
      <c r="M28" s="10" t="n">
        <v>0</v>
      </c>
      <c r="N28" s="10" t="n">
        <v>0</v>
      </c>
      <c r="O28" s="7" t="inlineStr">
        <is>
          <t>Exception</t>
        </is>
      </c>
      <c r="P28" s="11" t="n">
        <v>46298</v>
      </c>
      <c r="Q28" s="7" t="inlineStr">
        <is>
          <t>Review GR/IR item with Procurement/Receiving</t>
        </is>
      </c>
    </row>
    <row r="29">
      <c r="A29" s="9" t="inlineStr">
        <is>
          <t>V1007</t>
        </is>
      </c>
      <c r="B29" s="9" t="inlineStr">
        <is>
          <t>Granite Manufacturing</t>
        </is>
      </c>
      <c r="C29" s="7" t="inlineStr">
        <is>
          <t>INV-2026-7322</t>
        </is>
      </c>
      <c r="D29" s="9" t="inlineStr">
        <is>
          <t>5105012481</t>
        </is>
      </c>
      <c r="E29" s="9" t="inlineStr">
        <is>
          <t>454684230025</t>
        </is>
      </c>
      <c r="F29" s="9" t="inlineStr">
        <is>
          <t>503032396474</t>
        </is>
      </c>
      <c r="G29" s="10" t="n">
        <v>88385.96000000001</v>
      </c>
      <c r="H29" s="10" t="n">
        <v>94027.62</v>
      </c>
      <c r="I29" s="10" t="n">
        <v>0</v>
      </c>
      <c r="J29" s="10" t="n">
        <v>0</v>
      </c>
      <c r="K29" s="9" t="inlineStr">
        <is>
          <t>Cleared</t>
        </is>
      </c>
      <c r="L29" s="9" t="inlineStr">
        <is>
          <t>Credit Note Missing</t>
        </is>
      </c>
      <c r="M29" s="10" t="n">
        <v>-5641.659999999989</v>
      </c>
      <c r="N29" s="10" t="n">
        <v>0</v>
      </c>
      <c r="O29" s="7" t="inlineStr">
        <is>
          <t>Exception</t>
        </is>
      </c>
      <c r="P29" s="11" t="n">
        <v>46254</v>
      </c>
      <c r="Q29" s="7" t="inlineStr">
        <is>
          <t>Request/locate credit note and validate balance</t>
        </is>
      </c>
    </row>
    <row r="30">
      <c r="A30" s="9" t="inlineStr">
        <is>
          <t>V1008</t>
        </is>
      </c>
      <c r="B30" s="9" t="inlineStr">
        <is>
          <t>Harbor Utilities</t>
        </is>
      </c>
      <c r="C30" s="7" t="inlineStr">
        <is>
          <t>INV-2026-1496</t>
        </is>
      </c>
      <c r="D30" s="9" t="inlineStr">
        <is>
          <t>5104086398</t>
        </is>
      </c>
      <c r="E30" s="9" t="inlineStr">
        <is>
          <t>451553741768</t>
        </is>
      </c>
      <c r="F30" s="9" t="inlineStr"/>
      <c r="G30" s="10" t="n">
        <v>177833.35</v>
      </c>
      <c r="H30" s="10" t="n">
        <v>177833.35</v>
      </c>
      <c r="I30" s="10" t="n">
        <v>0</v>
      </c>
      <c r="J30" s="10" t="n">
        <v>0</v>
      </c>
      <c r="K30" s="9" t="inlineStr">
        <is>
          <t>Missing GR</t>
        </is>
      </c>
      <c r="L30" s="9" t="inlineStr">
        <is>
          <t>Matched</t>
        </is>
      </c>
      <c r="M30" s="10" t="n">
        <v>0</v>
      </c>
      <c r="N30" s="10" t="n">
        <v>0</v>
      </c>
      <c r="O30" s="7" t="inlineStr">
        <is>
          <t>Matched</t>
        </is>
      </c>
      <c r="P30" s="11" t="n">
        <v>46107</v>
      </c>
      <c r="Q30" s="7" t="inlineStr">
        <is>
          <t>No action</t>
        </is>
      </c>
    </row>
    <row r="31">
      <c r="A31" s="9" t="inlineStr">
        <is>
          <t>V1003</t>
        </is>
      </c>
      <c r="B31" s="9" t="inlineStr">
        <is>
          <t>Cedar Industrial</t>
        </is>
      </c>
      <c r="C31" s="7" t="inlineStr">
        <is>
          <t>INV-2026-1885</t>
        </is>
      </c>
      <c r="D31" s="9" t="inlineStr">
        <is>
          <t>5105883802</t>
        </is>
      </c>
      <c r="E31" s="9" t="inlineStr"/>
      <c r="F31" s="9" t="inlineStr"/>
      <c r="G31" s="10" t="n">
        <v>159708.34</v>
      </c>
      <c r="H31" s="10" t="n">
        <v>159708.34</v>
      </c>
      <c r="I31" s="10" t="n">
        <v>0</v>
      </c>
      <c r="J31" s="10" t="n">
        <v>0</v>
      </c>
      <c r="K31" s="9" t="inlineStr">
        <is>
          <t>Not Applicable</t>
        </is>
      </c>
      <c r="L31" s="9" t="inlineStr">
        <is>
          <t>Matched</t>
        </is>
      </c>
      <c r="M31" s="10" t="n">
        <v>0</v>
      </c>
      <c r="N31" s="10" t="n">
        <v>0</v>
      </c>
      <c r="O31" s="7" t="inlineStr">
        <is>
          <t>Matched</t>
        </is>
      </c>
      <c r="P31" s="11" t="n">
        <v>46074</v>
      </c>
      <c r="Q31" s="7" t="inlineStr">
        <is>
          <t>No action</t>
        </is>
      </c>
    </row>
    <row r="32">
      <c r="A32" s="9" t="inlineStr">
        <is>
          <t>V1010</t>
        </is>
      </c>
      <c r="B32" s="9" t="inlineStr">
        <is>
          <t>Juniper Components</t>
        </is>
      </c>
      <c r="C32" s="7" t="inlineStr">
        <is>
          <t>INV-2026-1554</t>
        </is>
      </c>
      <c r="D32" s="9" t="inlineStr">
        <is>
          <t>5107348859</t>
        </is>
      </c>
      <c r="E32" s="9" t="inlineStr">
        <is>
          <t>459897845742</t>
        </is>
      </c>
      <c r="F32" s="9" t="inlineStr"/>
      <c r="G32" s="10" t="n">
        <v>102045.87</v>
      </c>
      <c r="H32" s="10" t="n">
        <v>102045.87</v>
      </c>
      <c r="I32" s="10" t="n">
        <v>51022.93</v>
      </c>
      <c r="J32" s="10" t="n">
        <v>0</v>
      </c>
      <c r="K32" s="9" t="inlineStr">
        <is>
          <t>Missing GR</t>
        </is>
      </c>
      <c r="L32" s="9" t="inlineStr">
        <is>
          <t>Payment Missing in Statement</t>
        </is>
      </c>
      <c r="M32" s="10" t="n">
        <v>0</v>
      </c>
      <c r="N32" s="10" t="n">
        <v>51022.93</v>
      </c>
      <c r="O32" s="7" t="inlineStr">
        <is>
          <t>Exception</t>
        </is>
      </c>
      <c r="P32" s="11" t="n">
        <v>46192</v>
      </c>
      <c r="Q32" s="7" t="inlineStr">
        <is>
          <t>Check remittance advice and vendor statement</t>
        </is>
      </c>
    </row>
    <row r="33">
      <c r="A33" s="9" t="inlineStr">
        <is>
          <t>V1005</t>
        </is>
      </c>
      <c r="B33" s="9" t="inlineStr">
        <is>
          <t>Evergreen IT Services</t>
        </is>
      </c>
      <c r="C33" s="7" t="inlineStr">
        <is>
          <t>INV-2025-1713</t>
        </is>
      </c>
      <c r="D33" s="9" t="inlineStr">
        <is>
          <t>5109411128</t>
        </is>
      </c>
      <c r="E33" s="9" t="inlineStr">
        <is>
          <t>457350967683</t>
        </is>
      </c>
      <c r="F33" s="9" t="inlineStr"/>
      <c r="G33" s="10" t="n">
        <v>169929.28</v>
      </c>
      <c r="H33" s="10" t="n">
        <v>167418.01</v>
      </c>
      <c r="I33" s="10" t="n">
        <v>0</v>
      </c>
      <c r="J33" s="10" t="n">
        <v>0</v>
      </c>
      <c r="K33" s="9" t="inlineStr">
        <is>
          <t>Missing GR</t>
        </is>
      </c>
      <c r="L33" s="9" t="inlineStr">
        <is>
          <t>Amount Variance</t>
        </is>
      </c>
      <c r="M33" s="10" t="n">
        <v>2511.26999999999</v>
      </c>
      <c r="N33" s="10" t="n">
        <v>0</v>
      </c>
      <c r="O33" s="7" t="inlineStr">
        <is>
          <t>Exception</t>
        </is>
      </c>
      <c r="P33" s="11" t="n">
        <v>46274</v>
      </c>
      <c r="Q33" s="7" t="inlineStr">
        <is>
          <t>Compare invoice, PO and tax/charges</t>
        </is>
      </c>
    </row>
    <row r="34">
      <c r="A34" s="9" t="inlineStr">
        <is>
          <t>V1008</t>
        </is>
      </c>
      <c r="B34" s="9" t="inlineStr">
        <is>
          <t>Harbor Utilities</t>
        </is>
      </c>
      <c r="C34" s="7" t="inlineStr">
        <is>
          <t>INV-2026-9496</t>
        </is>
      </c>
      <c r="D34" s="9" t="inlineStr">
        <is>
          <t>5102905576</t>
        </is>
      </c>
      <c r="E34" s="9" t="inlineStr">
        <is>
          <t>458952324624</t>
        </is>
      </c>
      <c r="F34" s="9" t="inlineStr"/>
      <c r="G34" s="10" t="n">
        <v>183921.19</v>
      </c>
      <c r="H34" s="10" t="n">
        <v>181203.14</v>
      </c>
      <c r="I34" s="10" t="n">
        <v>0</v>
      </c>
      <c r="J34" s="10" t="n">
        <v>0</v>
      </c>
      <c r="K34" s="9" t="inlineStr">
        <is>
          <t>Missing GR</t>
        </is>
      </c>
      <c r="L34" s="9" t="inlineStr">
        <is>
          <t>Amount Variance</t>
        </is>
      </c>
      <c r="M34" s="10" t="n">
        <v>2718.049999999988</v>
      </c>
      <c r="N34" s="10" t="n">
        <v>0</v>
      </c>
      <c r="O34" s="7" t="inlineStr">
        <is>
          <t>Exception</t>
        </is>
      </c>
      <c r="P34" s="11" t="n">
        <v>46224</v>
      </c>
      <c r="Q34" s="7" t="inlineStr">
        <is>
          <t>Compare invoice, PO and tax/charges</t>
        </is>
      </c>
    </row>
    <row r="35">
      <c r="A35" s="9" t="inlineStr">
        <is>
          <t>V1009</t>
        </is>
      </c>
      <c r="B35" s="9" t="inlineStr">
        <is>
          <t>Ironwood Consulting</t>
        </is>
      </c>
      <c r="C35" s="7" t="inlineStr">
        <is>
          <t>INV-2025-8552</t>
        </is>
      </c>
      <c r="D35" s="9" t="inlineStr">
        <is>
          <t>5107572129</t>
        </is>
      </c>
      <c r="E35" s="9" t="inlineStr"/>
      <c r="F35" s="9" t="inlineStr"/>
      <c r="G35" s="10" t="n">
        <v>15235.73</v>
      </c>
      <c r="H35" s="10" t="n">
        <v>15235.73</v>
      </c>
      <c r="I35" s="10" t="n">
        <v>0</v>
      </c>
      <c r="J35" s="10" t="n">
        <v>0</v>
      </c>
      <c r="K35" s="9" t="inlineStr">
        <is>
          <t>Not Applicable</t>
        </is>
      </c>
      <c r="L35" s="9" t="inlineStr">
        <is>
          <t>Matched</t>
        </is>
      </c>
      <c r="M35" s="10" t="n">
        <v>0</v>
      </c>
      <c r="N35" s="10" t="n">
        <v>0</v>
      </c>
      <c r="O35" s="7" t="inlineStr">
        <is>
          <t>Matched</t>
        </is>
      </c>
      <c r="P35" s="11" t="n">
        <v>46294</v>
      </c>
      <c r="Q35" s="7" t="inlineStr">
        <is>
          <t>No action</t>
        </is>
      </c>
    </row>
    <row r="36">
      <c r="A36" s="9" t="inlineStr">
        <is>
          <t>V1008</t>
        </is>
      </c>
      <c r="B36" s="9" t="inlineStr">
        <is>
          <t>Harbor Utilities</t>
        </is>
      </c>
      <c r="C36" s="7" t="inlineStr">
        <is>
          <t>INV-2025-2740</t>
        </is>
      </c>
      <c r="D36" s="9" t="inlineStr">
        <is>
          <t>5105499658</t>
        </is>
      </c>
      <c r="E36" s="9" t="inlineStr">
        <is>
          <t>455898263551</t>
        </is>
      </c>
      <c r="F36" s="9" t="inlineStr"/>
      <c r="G36" s="10" t="n">
        <v>128071.33</v>
      </c>
      <c r="H36" s="10" t="n">
        <v>128071.33</v>
      </c>
      <c r="I36" s="10" t="n">
        <v>0</v>
      </c>
      <c r="J36" s="10" t="n">
        <v>0</v>
      </c>
      <c r="K36" s="9" t="inlineStr">
        <is>
          <t>Missing GR</t>
        </is>
      </c>
      <c r="L36" s="9" t="inlineStr">
        <is>
          <t>Matched</t>
        </is>
      </c>
      <c r="M36" s="10" t="n">
        <v>0</v>
      </c>
      <c r="N36" s="10" t="n">
        <v>0</v>
      </c>
      <c r="O36" s="7" t="inlineStr">
        <is>
          <t>Matched</t>
        </is>
      </c>
      <c r="P36" s="11" t="n">
        <v>46025</v>
      </c>
      <c r="Q36" s="7" t="inlineStr">
        <is>
          <t>No action</t>
        </is>
      </c>
    </row>
    <row r="37">
      <c r="A37" s="9" t="inlineStr">
        <is>
          <t>V1005</t>
        </is>
      </c>
      <c r="B37" s="9" t="inlineStr">
        <is>
          <t>Evergreen IT Services</t>
        </is>
      </c>
      <c r="C37" s="7" t="inlineStr">
        <is>
          <t>INV-2026-2450</t>
        </is>
      </c>
      <c r="D37" s="9" t="inlineStr">
        <is>
          <t>5101279219</t>
        </is>
      </c>
      <c r="E37" s="9" t="inlineStr"/>
      <c r="F37" s="9" t="inlineStr">
        <is>
          <t>509057288563</t>
        </is>
      </c>
      <c r="G37" s="10" t="n">
        <v>115251.19</v>
      </c>
      <c r="H37" s="10" t="n">
        <v>115251.19</v>
      </c>
      <c r="I37" s="10" t="n">
        <v>115251.19</v>
      </c>
      <c r="J37" s="10" t="n">
        <v>0</v>
      </c>
      <c r="K37" s="9" t="inlineStr">
        <is>
          <t>Cleared</t>
        </is>
      </c>
      <c r="L37" s="9" t="inlineStr">
        <is>
          <t>Payment Missing in Statement</t>
        </is>
      </c>
      <c r="M37" s="10" t="n">
        <v>0</v>
      </c>
      <c r="N37" s="10" t="n">
        <v>115251.19</v>
      </c>
      <c r="O37" s="7" t="inlineStr">
        <is>
          <t>Exception</t>
        </is>
      </c>
      <c r="P37" s="11" t="n">
        <v>46288</v>
      </c>
      <c r="Q37" s="7" t="inlineStr">
        <is>
          <t>Check remittance advice and vendor statement</t>
        </is>
      </c>
    </row>
    <row r="38">
      <c r="A38" s="9" t="inlineStr">
        <is>
          <t>V1006</t>
        </is>
      </c>
      <c r="B38" s="9" t="inlineStr">
        <is>
          <t>Fairview Logistics</t>
        </is>
      </c>
      <c r="C38" s="7" t="inlineStr">
        <is>
          <t>INV-2026-2525</t>
        </is>
      </c>
      <c r="D38" s="9" t="inlineStr">
        <is>
          <t>5101959525</t>
        </is>
      </c>
      <c r="E38" s="9" t="inlineStr">
        <is>
          <t>457305259378</t>
        </is>
      </c>
      <c r="F38" s="9" t="inlineStr">
        <is>
          <t>505110449996</t>
        </is>
      </c>
      <c r="G38" s="10" t="n">
        <v>171962.48</v>
      </c>
      <c r="H38" s="10" t="n">
        <v>171962.48</v>
      </c>
      <c r="I38" s="10" t="n">
        <v>0</v>
      </c>
      <c r="J38" s="10" t="n">
        <v>0</v>
      </c>
      <c r="K38" s="9" t="inlineStr">
        <is>
          <t>Open</t>
        </is>
      </c>
      <c r="L38" s="9" t="inlineStr">
        <is>
          <t>GR/IR Open Item</t>
        </is>
      </c>
      <c r="M38" s="10" t="n">
        <v>0</v>
      </c>
      <c r="N38" s="10" t="n">
        <v>0</v>
      </c>
      <c r="O38" s="7" t="inlineStr">
        <is>
          <t>Exception</t>
        </is>
      </c>
      <c r="P38" s="11" t="n">
        <v>46232</v>
      </c>
      <c r="Q38" s="7" t="inlineStr">
        <is>
          <t>Review GR/IR item with Procurement/Receiving</t>
        </is>
      </c>
    </row>
    <row r="39">
      <c r="A39" s="9" t="inlineStr">
        <is>
          <t>V1006</t>
        </is>
      </c>
      <c r="B39" s="9" t="inlineStr">
        <is>
          <t>Fairview Logistics</t>
        </is>
      </c>
      <c r="C39" s="7" t="inlineStr">
        <is>
          <t>INV-2026-7871</t>
        </is>
      </c>
      <c r="D39" s="9" t="inlineStr">
        <is>
          <t>5104361313</t>
        </is>
      </c>
      <c r="E39" s="9" t="inlineStr">
        <is>
          <t>458582062574</t>
        </is>
      </c>
      <c r="F39" s="9" t="inlineStr">
        <is>
          <t>507056277322</t>
        </is>
      </c>
      <c r="G39" s="10" t="n">
        <v>158942.52</v>
      </c>
      <c r="H39" s="10" t="n">
        <v>158942.52</v>
      </c>
      <c r="I39" s="10" t="n">
        <v>0</v>
      </c>
      <c r="J39" s="10" t="n">
        <v>0</v>
      </c>
      <c r="K39" s="9" t="inlineStr">
        <is>
          <t>Cleared</t>
        </is>
      </c>
      <c r="L39" s="9" t="inlineStr">
        <is>
          <t>Matched</t>
        </is>
      </c>
      <c r="M39" s="10" t="n">
        <v>0</v>
      </c>
      <c r="N39" s="10" t="n">
        <v>0</v>
      </c>
      <c r="O39" s="7" t="inlineStr">
        <is>
          <t>Matched</t>
        </is>
      </c>
      <c r="P39" s="11" t="n">
        <v>46256</v>
      </c>
      <c r="Q39" s="7" t="inlineStr">
        <is>
          <t>No action</t>
        </is>
      </c>
    </row>
    <row r="40">
      <c r="A40" s="9" t="inlineStr">
        <is>
          <t>V1005</t>
        </is>
      </c>
      <c r="B40" s="9" t="inlineStr">
        <is>
          <t>Evergreen IT Services</t>
        </is>
      </c>
      <c r="C40" s="7" t="inlineStr">
        <is>
          <t>INV-2026-3119</t>
        </is>
      </c>
      <c r="D40" s="9" t="inlineStr"/>
      <c r="E40" s="9" t="inlineStr">
        <is>
          <t>456658122042</t>
        </is>
      </c>
      <c r="F40" s="9" t="inlineStr"/>
      <c r="G40" s="10" t="n">
        <v>107609.29</v>
      </c>
      <c r="H40" s="10" t="n">
        <v>107609.29</v>
      </c>
      <c r="I40" s="10" t="n">
        <v>0</v>
      </c>
      <c r="J40" s="10" t="n">
        <v>0</v>
      </c>
      <c r="K40" s="9" t="inlineStr">
        <is>
          <t>Missing GR</t>
        </is>
      </c>
      <c r="L40" s="9" t="inlineStr">
        <is>
          <t>Invoice Missing in SAP</t>
        </is>
      </c>
      <c r="M40" s="10" t="n">
        <v>0</v>
      </c>
      <c r="N40" s="10" t="n">
        <v>0</v>
      </c>
      <c r="O40" s="7" t="inlineStr">
        <is>
          <t>Exception</t>
        </is>
      </c>
      <c r="P40" s="11" t="n">
        <v>46123</v>
      </c>
      <c r="Q40" s="7" t="inlineStr">
        <is>
          <t>Request invoice copy; verify before posting</t>
        </is>
      </c>
    </row>
    <row r="41">
      <c r="A41" s="9" t="inlineStr">
        <is>
          <t>V1004</t>
        </is>
      </c>
      <c r="B41" s="9" t="inlineStr">
        <is>
          <t>Delta Facilities</t>
        </is>
      </c>
      <c r="C41" s="7" t="inlineStr">
        <is>
          <t>INV-2026-4410</t>
        </is>
      </c>
      <c r="D41" s="9" t="inlineStr">
        <is>
          <t>5109902117</t>
        </is>
      </c>
      <c r="E41" s="9" t="inlineStr">
        <is>
          <t>451225274432</t>
        </is>
      </c>
      <c r="F41" s="9" t="inlineStr">
        <is>
          <t>502070724897</t>
        </is>
      </c>
      <c r="G41" s="10" t="n">
        <v>155762.73</v>
      </c>
      <c r="H41" s="10" t="n">
        <v>155762.73</v>
      </c>
      <c r="I41" s="10" t="n">
        <v>0</v>
      </c>
      <c r="J41" s="10" t="n">
        <v>0</v>
      </c>
      <c r="K41" s="9" t="inlineStr">
        <is>
          <t>Cleared</t>
        </is>
      </c>
      <c r="L41" s="9" t="inlineStr">
        <is>
          <t>Matched</t>
        </is>
      </c>
      <c r="M41" s="10" t="n">
        <v>0</v>
      </c>
      <c r="N41" s="10" t="n">
        <v>0</v>
      </c>
      <c r="O41" s="7" t="inlineStr">
        <is>
          <t>Matched</t>
        </is>
      </c>
      <c r="P41" s="11" t="n">
        <v>46038</v>
      </c>
      <c r="Q41" s="7" t="inlineStr">
        <is>
          <t>No action</t>
        </is>
      </c>
    </row>
    <row r="42">
      <c r="A42" s="9" t="inlineStr">
        <is>
          <t>V1005</t>
        </is>
      </c>
      <c r="B42" s="9" t="inlineStr">
        <is>
          <t>Evergreen IT Services</t>
        </is>
      </c>
      <c r="C42" s="7" t="inlineStr">
        <is>
          <t>INV-2025-1388</t>
        </is>
      </c>
      <c r="D42" s="9" t="inlineStr">
        <is>
          <t>5101768700</t>
        </is>
      </c>
      <c r="E42" s="9" t="inlineStr">
        <is>
          <t>457837029536</t>
        </is>
      </c>
      <c r="F42" s="9" t="inlineStr">
        <is>
          <t>508672074513</t>
        </is>
      </c>
      <c r="G42" s="10" t="n">
        <v>151718.46</v>
      </c>
      <c r="H42" s="10" t="n">
        <v>154814.76</v>
      </c>
      <c r="I42" s="10" t="n">
        <v>0</v>
      </c>
      <c r="J42" s="10" t="n">
        <v>0</v>
      </c>
      <c r="K42" s="9" t="inlineStr">
        <is>
          <t>Cleared</t>
        </is>
      </c>
      <c r="L42" s="9" t="inlineStr">
        <is>
          <t>Amount Variance</t>
        </is>
      </c>
      <c r="M42" s="10" t="n">
        <v>-3096.300000000017</v>
      </c>
      <c r="N42" s="10" t="n">
        <v>0</v>
      </c>
      <c r="O42" s="7" t="inlineStr">
        <is>
          <t>Exception</t>
        </is>
      </c>
      <c r="P42" s="11" t="n">
        <v>46082</v>
      </c>
      <c r="Q42" s="7" t="inlineStr">
        <is>
          <t>Compare invoice, PO and tax/charges</t>
        </is>
      </c>
    </row>
    <row r="43">
      <c r="A43" s="9" t="inlineStr">
        <is>
          <t>V1006</t>
        </is>
      </c>
      <c r="B43" s="9" t="inlineStr">
        <is>
          <t>Fairview Logistics</t>
        </is>
      </c>
      <c r="C43" s="7" t="inlineStr">
        <is>
          <t>INV-2026-8315</t>
        </is>
      </c>
      <c r="D43" s="9" t="inlineStr"/>
      <c r="E43" s="9" t="inlineStr"/>
      <c r="F43" s="9" t="inlineStr"/>
      <c r="G43" s="10" t="n">
        <v>154152.18</v>
      </c>
      <c r="H43" s="10" t="n">
        <v>154152.18</v>
      </c>
      <c r="I43" s="10" t="n">
        <v>0</v>
      </c>
      <c r="J43" s="10" t="n">
        <v>0</v>
      </c>
      <c r="K43" s="9" t="inlineStr">
        <is>
          <t>Not Applicable</t>
        </is>
      </c>
      <c r="L43" s="9" t="inlineStr">
        <is>
          <t>Invoice Missing in SAP</t>
        </is>
      </c>
      <c r="M43" s="10" t="n">
        <v>0</v>
      </c>
      <c r="N43" s="10" t="n">
        <v>0</v>
      </c>
      <c r="O43" s="7" t="inlineStr">
        <is>
          <t>Exception</t>
        </is>
      </c>
      <c r="P43" s="11" t="n">
        <v>46035</v>
      </c>
      <c r="Q43" s="7" t="inlineStr">
        <is>
          <t>Request invoice copy; verify before posting</t>
        </is>
      </c>
    </row>
    <row r="44">
      <c r="A44" s="9" t="inlineStr">
        <is>
          <t>V1003</t>
        </is>
      </c>
      <c r="B44" s="9" t="inlineStr">
        <is>
          <t>Cedar Industrial</t>
        </is>
      </c>
      <c r="C44" s="7" t="inlineStr">
        <is>
          <t>INV-2025-1127</t>
        </is>
      </c>
      <c r="D44" s="9" t="inlineStr">
        <is>
          <t>5108463304</t>
        </is>
      </c>
      <c r="E44" s="9" t="inlineStr"/>
      <c r="F44" s="9" t="inlineStr">
        <is>
          <t>508298747315</t>
        </is>
      </c>
      <c r="G44" s="10" t="n">
        <v>97822.98</v>
      </c>
      <c r="H44" s="10" t="n">
        <v>97822.98</v>
      </c>
      <c r="I44" s="10" t="n">
        <v>0</v>
      </c>
      <c r="J44" s="10" t="n">
        <v>0</v>
      </c>
      <c r="K44" s="9" t="inlineStr">
        <is>
          <t>Open</t>
        </is>
      </c>
      <c r="L44" s="9" t="inlineStr">
        <is>
          <t>GR/IR Open Item</t>
        </is>
      </c>
      <c r="M44" s="10" t="n">
        <v>0</v>
      </c>
      <c r="N44" s="10" t="n">
        <v>0</v>
      </c>
      <c r="O44" s="7" t="inlineStr">
        <is>
          <t>Exception</t>
        </is>
      </c>
      <c r="P44" s="11" t="n">
        <v>46160</v>
      </c>
      <c r="Q44" s="7" t="inlineStr">
        <is>
          <t>Review GR/IR item with Procurement/Receiving</t>
        </is>
      </c>
    </row>
    <row r="45">
      <c r="A45" s="9" t="inlineStr">
        <is>
          <t>V1002</t>
        </is>
      </c>
      <c r="B45" s="9" t="inlineStr">
        <is>
          <t>BluePeak Services</t>
        </is>
      </c>
      <c r="C45" s="7" t="inlineStr">
        <is>
          <t>INV-2025-8665</t>
        </is>
      </c>
      <c r="D45" s="9" t="inlineStr">
        <is>
          <t>5103360670</t>
        </is>
      </c>
      <c r="E45" s="9" t="inlineStr"/>
      <c r="F45" s="9" t="inlineStr"/>
      <c r="G45" s="10" t="n">
        <v>41887.05</v>
      </c>
      <c r="H45" s="10" t="n">
        <v>41887.05</v>
      </c>
      <c r="I45" s="10" t="n">
        <v>41887.05</v>
      </c>
      <c r="J45" s="10" t="n">
        <v>0</v>
      </c>
      <c r="K45" s="9" t="inlineStr">
        <is>
          <t>Not Applicable</t>
        </is>
      </c>
      <c r="L45" s="9" t="inlineStr">
        <is>
          <t>Payment Missing in Statement</t>
        </is>
      </c>
      <c r="M45" s="10" t="n">
        <v>0</v>
      </c>
      <c r="N45" s="10" t="n">
        <v>41887.05</v>
      </c>
      <c r="O45" s="7" t="inlineStr">
        <is>
          <t>Exception</t>
        </is>
      </c>
      <c r="P45" s="11" t="n">
        <v>46189</v>
      </c>
      <c r="Q45" s="7" t="inlineStr">
        <is>
          <t>Check remittance advice and vendor statement</t>
        </is>
      </c>
    </row>
    <row r="46">
      <c r="A46" s="9" t="inlineStr">
        <is>
          <t>V1007</t>
        </is>
      </c>
      <c r="B46" s="9" t="inlineStr">
        <is>
          <t>Granite Manufacturing</t>
        </is>
      </c>
      <c r="C46" s="7" t="inlineStr">
        <is>
          <t>INV-2026-2468</t>
        </is>
      </c>
      <c r="D46" s="9" t="inlineStr">
        <is>
          <t>5108503366</t>
        </is>
      </c>
      <c r="E46" s="9" t="inlineStr"/>
      <c r="F46" s="9" t="inlineStr"/>
      <c r="G46" s="10" t="n">
        <v>55889.55</v>
      </c>
      <c r="H46" s="10" t="n">
        <v>54261.7</v>
      </c>
      <c r="I46" s="10" t="n">
        <v>0</v>
      </c>
      <c r="J46" s="10" t="n">
        <v>0</v>
      </c>
      <c r="K46" s="9" t="inlineStr">
        <is>
          <t>Not Applicable</t>
        </is>
      </c>
      <c r="L46" s="9" t="inlineStr">
        <is>
          <t>Amount Variance</t>
        </is>
      </c>
      <c r="M46" s="10" t="n">
        <v>1627.850000000006</v>
      </c>
      <c r="N46" s="10" t="n">
        <v>0</v>
      </c>
      <c r="O46" s="7" t="inlineStr">
        <is>
          <t>Exception</t>
        </is>
      </c>
      <c r="P46" s="11" t="n">
        <v>46121</v>
      </c>
      <c r="Q46" s="7" t="inlineStr">
        <is>
          <t>Compare invoice, PO and tax/charges</t>
        </is>
      </c>
    </row>
    <row r="47">
      <c r="A47" s="9" t="inlineStr">
        <is>
          <t>V1004</t>
        </is>
      </c>
      <c r="B47" s="9" t="inlineStr">
        <is>
          <t>Delta Facilities</t>
        </is>
      </c>
      <c r="C47" s="7" t="inlineStr">
        <is>
          <t>INV-2026-6295</t>
        </is>
      </c>
      <c r="D47" s="9" t="inlineStr">
        <is>
          <t>5109681701</t>
        </is>
      </c>
      <c r="E47" s="9" t="inlineStr">
        <is>
          <t>452678650088</t>
        </is>
      </c>
      <c r="F47" s="9" t="inlineStr">
        <is>
          <t>509151715587</t>
        </is>
      </c>
      <c r="G47" s="10" t="n">
        <v>26086.46</v>
      </c>
      <c r="H47" s="10" t="n">
        <v>26086.46</v>
      </c>
      <c r="I47" s="10" t="n">
        <v>26086.46</v>
      </c>
      <c r="J47" s="10" t="n">
        <v>0</v>
      </c>
      <c r="K47" s="9" t="inlineStr">
        <is>
          <t>Cleared</t>
        </is>
      </c>
      <c r="L47" s="9" t="inlineStr">
        <is>
          <t>Payment Missing in Statement</t>
        </is>
      </c>
      <c r="M47" s="10" t="n">
        <v>0</v>
      </c>
      <c r="N47" s="10" t="n">
        <v>26086.46</v>
      </c>
      <c r="O47" s="7" t="inlineStr">
        <is>
          <t>Exception</t>
        </is>
      </c>
      <c r="P47" s="11" t="n">
        <v>46115</v>
      </c>
      <c r="Q47" s="7" t="inlineStr">
        <is>
          <t>Check remittance advice and vendor statement</t>
        </is>
      </c>
    </row>
    <row r="48">
      <c r="A48" s="9" t="inlineStr">
        <is>
          <t>V1009</t>
        </is>
      </c>
      <c r="B48" s="9" t="inlineStr">
        <is>
          <t>Ironwood Consulting</t>
        </is>
      </c>
      <c r="C48" s="7" t="inlineStr">
        <is>
          <t>INV-2025-6859</t>
        </is>
      </c>
      <c r="D48" s="9" t="inlineStr"/>
      <c r="E48" s="9" t="inlineStr"/>
      <c r="F48" s="9" t="inlineStr"/>
      <c r="G48" s="10" t="n">
        <v>45734.54</v>
      </c>
      <c r="H48" s="10" t="n">
        <v>45734.54</v>
      </c>
      <c r="I48" s="10" t="n">
        <v>0</v>
      </c>
      <c r="J48" s="10" t="n">
        <v>0</v>
      </c>
      <c r="K48" s="9" t="inlineStr">
        <is>
          <t>Not Applicable</t>
        </is>
      </c>
      <c r="L48" s="9" t="inlineStr">
        <is>
          <t>Invoice Missing in SAP</t>
        </is>
      </c>
      <c r="M48" s="10" t="n">
        <v>0</v>
      </c>
      <c r="N48" s="10" t="n">
        <v>0</v>
      </c>
      <c r="O48" s="7" t="inlineStr">
        <is>
          <t>Exception</t>
        </is>
      </c>
      <c r="P48" s="11" t="n">
        <v>46124</v>
      </c>
      <c r="Q48" s="7" t="inlineStr">
        <is>
          <t>Request invoice copy; verify before posting</t>
        </is>
      </c>
    </row>
    <row r="49">
      <c r="A49" s="9" t="inlineStr">
        <is>
          <t>V1006</t>
        </is>
      </c>
      <c r="B49" s="9" t="inlineStr">
        <is>
          <t>Fairview Logistics</t>
        </is>
      </c>
      <c r="C49" s="7" t="inlineStr">
        <is>
          <t>INV-2025-1156</t>
        </is>
      </c>
      <c r="D49" s="9" t="inlineStr">
        <is>
          <t>5103935600</t>
        </is>
      </c>
      <c r="E49" s="9" t="inlineStr">
        <is>
          <t>454660484951</t>
        </is>
      </c>
      <c r="F49" s="9" t="inlineStr">
        <is>
          <t>507269753124</t>
        </is>
      </c>
      <c r="G49" s="10" t="n">
        <v>49689.51</v>
      </c>
      <c r="H49" s="10" t="n">
        <v>48242.24</v>
      </c>
      <c r="I49" s="10" t="n">
        <v>0</v>
      </c>
      <c r="J49" s="10" t="n">
        <v>0</v>
      </c>
      <c r="K49" s="9" t="inlineStr">
        <is>
          <t>Cleared</t>
        </is>
      </c>
      <c r="L49" s="9" t="inlineStr">
        <is>
          <t>Amount Variance</t>
        </is>
      </c>
      <c r="M49" s="10" t="n">
        <v>1447.270000000004</v>
      </c>
      <c r="N49" s="10" t="n">
        <v>0</v>
      </c>
      <c r="O49" s="7" t="inlineStr">
        <is>
          <t>Exception</t>
        </is>
      </c>
      <c r="P49" s="11" t="n">
        <v>46220</v>
      </c>
      <c r="Q49" s="7" t="inlineStr">
        <is>
          <t>Compare invoice, PO and tax/charges</t>
        </is>
      </c>
    </row>
    <row r="50">
      <c r="A50" s="9" t="inlineStr">
        <is>
          <t>V1009</t>
        </is>
      </c>
      <c r="B50" s="9" t="inlineStr">
        <is>
          <t>Ironwood Consulting</t>
        </is>
      </c>
      <c r="C50" s="7" t="inlineStr">
        <is>
          <t>INV-2025-2460</t>
        </is>
      </c>
      <c r="D50" s="9" t="inlineStr">
        <is>
          <t>5101951848</t>
        </is>
      </c>
      <c r="E50" s="9" t="inlineStr"/>
      <c r="F50" s="9" t="inlineStr"/>
      <c r="G50" s="10" t="n">
        <v>110888.99</v>
      </c>
      <c r="H50" s="10" t="n">
        <v>110888.99</v>
      </c>
      <c r="I50" s="10" t="n">
        <v>0</v>
      </c>
      <c r="J50" s="10" t="n">
        <v>0</v>
      </c>
      <c r="K50" s="9" t="inlineStr">
        <is>
          <t>Not Applicable</t>
        </is>
      </c>
      <c r="L50" s="9" t="inlineStr">
        <is>
          <t>GR/IR Open Item</t>
        </is>
      </c>
      <c r="M50" s="10" t="n">
        <v>0</v>
      </c>
      <c r="N50" s="10" t="n">
        <v>0</v>
      </c>
      <c r="O50" s="7" t="inlineStr">
        <is>
          <t>Exception</t>
        </is>
      </c>
      <c r="P50" s="11" t="n">
        <v>46084</v>
      </c>
      <c r="Q50" s="7" t="inlineStr">
        <is>
          <t>Review GR/IR item with Procurement/Receiving</t>
        </is>
      </c>
    </row>
    <row r="51">
      <c r="A51" s="9" t="inlineStr">
        <is>
          <t>V1010</t>
        </is>
      </c>
      <c r="B51" s="9" t="inlineStr">
        <is>
          <t>Juniper Components</t>
        </is>
      </c>
      <c r="C51" s="7" t="inlineStr">
        <is>
          <t>INV-2026-4061</t>
        </is>
      </c>
      <c r="D51" s="9" t="inlineStr">
        <is>
          <t>5103610356</t>
        </is>
      </c>
      <c r="E51" s="9" t="inlineStr">
        <is>
          <t>459478143610</t>
        </is>
      </c>
      <c r="F51" s="9" t="inlineStr">
        <is>
          <t>507716049447</t>
        </is>
      </c>
      <c r="G51" s="10" t="n">
        <v>116256.04</v>
      </c>
      <c r="H51" s="10" t="n">
        <v>123676.64</v>
      </c>
      <c r="I51" s="10" t="n">
        <v>0</v>
      </c>
      <c r="J51" s="10" t="n">
        <v>0</v>
      </c>
      <c r="K51" s="9" t="inlineStr">
        <is>
          <t>Cleared</t>
        </is>
      </c>
      <c r="L51" s="9" t="inlineStr">
        <is>
          <t>Credit Note Missing</t>
        </is>
      </c>
      <c r="M51" s="10" t="n">
        <v>-7420.600000000006</v>
      </c>
      <c r="N51" s="10" t="n">
        <v>0</v>
      </c>
      <c r="O51" s="7" t="inlineStr">
        <is>
          <t>Exception</t>
        </is>
      </c>
      <c r="P51" s="11" t="n">
        <v>46160</v>
      </c>
      <c r="Q51" s="7" t="inlineStr">
        <is>
          <t>Request/locate credit note and validate balance</t>
        </is>
      </c>
    </row>
    <row r="52">
      <c r="A52" s="9" t="inlineStr">
        <is>
          <t>V1005</t>
        </is>
      </c>
      <c r="B52" s="9" t="inlineStr">
        <is>
          <t>Evergreen IT Services</t>
        </is>
      </c>
      <c r="C52" s="7" t="inlineStr">
        <is>
          <t>INV-2026-8609</t>
        </is>
      </c>
      <c r="D52" s="9" t="inlineStr">
        <is>
          <t>5108170917</t>
        </is>
      </c>
      <c r="E52" s="9" t="inlineStr">
        <is>
          <t>453716215874</t>
        </is>
      </c>
      <c r="F52" s="9" t="inlineStr">
        <is>
          <t>508505821392</t>
        </is>
      </c>
      <c r="G52" s="10" t="n">
        <v>43444.25</v>
      </c>
      <c r="H52" s="10" t="n">
        <v>46217.29</v>
      </c>
      <c r="I52" s="10" t="n">
        <v>0</v>
      </c>
      <c r="J52" s="10" t="n">
        <v>0</v>
      </c>
      <c r="K52" s="9" t="inlineStr">
        <is>
          <t>Not Applicable</t>
        </is>
      </c>
      <c r="L52" s="9" t="inlineStr">
        <is>
          <t>Credit Note Missing</t>
        </is>
      </c>
      <c r="M52" s="10" t="n">
        <v>-2773.040000000001</v>
      </c>
      <c r="N52" s="10" t="n">
        <v>0</v>
      </c>
      <c r="O52" s="7" t="inlineStr">
        <is>
          <t>Exception</t>
        </is>
      </c>
      <c r="P52" s="11" t="n">
        <v>46133</v>
      </c>
      <c r="Q52" s="7" t="inlineStr">
        <is>
          <t>Request/locate credit note and validate balance</t>
        </is>
      </c>
    </row>
    <row r="53">
      <c r="A53" s="9" t="inlineStr">
        <is>
          <t>V1006</t>
        </is>
      </c>
      <c r="B53" s="9" t="inlineStr">
        <is>
          <t>Fairview Logistics</t>
        </is>
      </c>
      <c r="C53" s="7" t="inlineStr">
        <is>
          <t>INV-2025-2391</t>
        </is>
      </c>
      <c r="D53" s="9" t="inlineStr">
        <is>
          <t>5106096139</t>
        </is>
      </c>
      <c r="E53" s="9" t="inlineStr">
        <is>
          <t>455152689729</t>
        </is>
      </c>
      <c r="F53" s="9" t="inlineStr">
        <is>
          <t>502589500204</t>
        </is>
      </c>
      <c r="G53" s="10" t="n">
        <v>8854.65</v>
      </c>
      <c r="H53" s="10" t="n">
        <v>8854.65</v>
      </c>
      <c r="I53" s="10" t="n">
        <v>0</v>
      </c>
      <c r="J53" s="10" t="n">
        <v>0</v>
      </c>
      <c r="K53" s="9" t="inlineStr">
        <is>
          <t>Cleared</t>
        </is>
      </c>
      <c r="L53" s="9" t="inlineStr">
        <is>
          <t>Matched</t>
        </is>
      </c>
      <c r="M53" s="10" t="n">
        <v>0</v>
      </c>
      <c r="N53" s="10" t="n">
        <v>0</v>
      </c>
      <c r="O53" s="7" t="inlineStr">
        <is>
          <t>Matched</t>
        </is>
      </c>
      <c r="P53" s="11" t="n">
        <v>46126</v>
      </c>
      <c r="Q53" s="7" t="inlineStr">
        <is>
          <t>No action</t>
        </is>
      </c>
    </row>
    <row r="54">
      <c r="A54" s="9" t="inlineStr">
        <is>
          <t>V1010</t>
        </is>
      </c>
      <c r="B54" s="9" t="inlineStr">
        <is>
          <t>Juniper Components</t>
        </is>
      </c>
      <c r="C54" s="7" t="inlineStr">
        <is>
          <t>INV-2026-8777</t>
        </is>
      </c>
      <c r="D54" s="9" t="inlineStr">
        <is>
          <t>5103261621</t>
        </is>
      </c>
      <c r="E54" s="9" t="inlineStr">
        <is>
          <t>453610924539</t>
        </is>
      </c>
      <c r="F54" s="9" t="inlineStr">
        <is>
          <t>502797890046</t>
        </is>
      </c>
      <c r="G54" s="10" t="n">
        <v>64222.77</v>
      </c>
      <c r="H54" s="10" t="n">
        <v>64222.77</v>
      </c>
      <c r="I54" s="10" t="n">
        <v>0</v>
      </c>
      <c r="J54" s="10" t="n">
        <v>0</v>
      </c>
      <c r="K54" s="9" t="inlineStr">
        <is>
          <t>Open</t>
        </is>
      </c>
      <c r="L54" s="9" t="inlineStr">
        <is>
          <t>GR/IR Open Item</t>
        </is>
      </c>
      <c r="M54" s="10" t="n">
        <v>0</v>
      </c>
      <c r="N54" s="10" t="n">
        <v>0</v>
      </c>
      <c r="O54" s="7" t="inlineStr">
        <is>
          <t>Exception</t>
        </is>
      </c>
      <c r="P54" s="11" t="n">
        <v>46155</v>
      </c>
      <c r="Q54" s="7" t="inlineStr">
        <is>
          <t>Review GR/IR item with Procurement/Receiving</t>
        </is>
      </c>
    </row>
    <row r="55">
      <c r="A55" s="9" t="inlineStr">
        <is>
          <t>V1004</t>
        </is>
      </c>
      <c r="B55" s="9" t="inlineStr">
        <is>
          <t>Delta Facilities</t>
        </is>
      </c>
      <c r="C55" s="7" t="inlineStr">
        <is>
          <t>INV-2025-7764</t>
        </is>
      </c>
      <c r="D55" s="9" t="inlineStr"/>
      <c r="E55" s="9" t="inlineStr">
        <is>
          <t>457325098758</t>
        </is>
      </c>
      <c r="F55" s="9" t="inlineStr">
        <is>
          <t>503285086347</t>
        </is>
      </c>
      <c r="G55" s="10" t="n">
        <v>144075.71</v>
      </c>
      <c r="H55" s="10" t="n">
        <v>144075.71</v>
      </c>
      <c r="I55" s="10" t="n">
        <v>0</v>
      </c>
      <c r="J55" s="10" t="n">
        <v>0</v>
      </c>
      <c r="K55" s="9" t="inlineStr">
        <is>
          <t>Cleared</t>
        </is>
      </c>
      <c r="L55" s="9" t="inlineStr">
        <is>
          <t>Invoice Missing in SAP</t>
        </is>
      </c>
      <c r="M55" s="10" t="n">
        <v>0</v>
      </c>
      <c r="N55" s="10" t="n">
        <v>0</v>
      </c>
      <c r="O55" s="7" t="inlineStr">
        <is>
          <t>Exception</t>
        </is>
      </c>
      <c r="P55" s="11" t="n">
        <v>46092</v>
      </c>
      <c r="Q55" s="7" t="inlineStr">
        <is>
          <t>Request invoice copy; verify before posting</t>
        </is>
      </c>
    </row>
    <row r="56">
      <c r="A56" s="9" t="inlineStr">
        <is>
          <t>V1003</t>
        </is>
      </c>
      <c r="B56" s="9" t="inlineStr">
        <is>
          <t>Cedar Industrial</t>
        </is>
      </c>
      <c r="C56" s="7" t="inlineStr">
        <is>
          <t>INV-2025-8773</t>
        </is>
      </c>
      <c r="D56" s="9" t="inlineStr">
        <is>
          <t>5105633051</t>
        </is>
      </c>
      <c r="E56" s="9" t="inlineStr">
        <is>
          <t>457238361928</t>
        </is>
      </c>
      <c r="F56" s="9" t="inlineStr">
        <is>
          <t>509628946682</t>
        </is>
      </c>
      <c r="G56" s="10" t="n">
        <v>175077.79</v>
      </c>
      <c r="H56" s="10" t="n">
        <v>178650.81</v>
      </c>
      <c r="I56" s="10" t="n">
        <v>0</v>
      </c>
      <c r="J56" s="10" t="n">
        <v>0</v>
      </c>
      <c r="K56" s="9" t="inlineStr">
        <is>
          <t>Cleared</t>
        </is>
      </c>
      <c r="L56" s="9" t="inlineStr">
        <is>
          <t>Amount Variance</t>
        </is>
      </c>
      <c r="M56" s="10" t="n">
        <v>-3573.01999999999</v>
      </c>
      <c r="N56" s="10" t="n">
        <v>0</v>
      </c>
      <c r="O56" s="7" t="inlineStr">
        <is>
          <t>Exception</t>
        </is>
      </c>
      <c r="P56" s="11" t="n">
        <v>46208</v>
      </c>
      <c r="Q56" s="7" t="inlineStr">
        <is>
          <t>Compare invoice, PO and tax/charges</t>
        </is>
      </c>
    </row>
    <row r="57">
      <c r="A57" s="9" t="inlineStr">
        <is>
          <t>V1007</t>
        </is>
      </c>
      <c r="B57" s="9" t="inlineStr">
        <is>
          <t>Granite Manufacturing</t>
        </is>
      </c>
      <c r="C57" s="7" t="inlineStr">
        <is>
          <t>INV-2026-5655</t>
        </is>
      </c>
      <c r="D57" s="9" t="inlineStr">
        <is>
          <t>5101959872</t>
        </is>
      </c>
      <c r="E57" s="9" t="inlineStr"/>
      <c r="F57" s="9" t="inlineStr">
        <is>
          <t>508034185238</t>
        </is>
      </c>
      <c r="G57" s="10" t="n">
        <v>9864.09</v>
      </c>
      <c r="H57" s="10" t="n">
        <v>9576.790000000001</v>
      </c>
      <c r="I57" s="10" t="n">
        <v>0</v>
      </c>
      <c r="J57" s="10" t="n">
        <v>0</v>
      </c>
      <c r="K57" s="9" t="inlineStr">
        <is>
          <t>Cleared</t>
        </is>
      </c>
      <c r="L57" s="9" t="inlineStr">
        <is>
          <t>Amount Variance</t>
        </is>
      </c>
      <c r="M57" s="10" t="n">
        <v>287.2999999999993</v>
      </c>
      <c r="N57" s="10" t="n">
        <v>0</v>
      </c>
      <c r="O57" s="7" t="inlineStr">
        <is>
          <t>Exception</t>
        </is>
      </c>
      <c r="P57" s="11" t="n">
        <v>46296</v>
      </c>
      <c r="Q57" s="7" t="inlineStr">
        <is>
          <t>Compare invoice, PO and tax/charges</t>
        </is>
      </c>
    </row>
    <row r="58">
      <c r="A58" s="9" t="inlineStr">
        <is>
          <t>V1009</t>
        </is>
      </c>
      <c r="B58" s="9" t="inlineStr">
        <is>
          <t>Ironwood Consulting</t>
        </is>
      </c>
      <c r="C58" s="7" t="inlineStr">
        <is>
          <t>INV-2025-5053</t>
        </is>
      </c>
      <c r="D58" s="9" t="inlineStr">
        <is>
          <t>5104819957</t>
        </is>
      </c>
      <c r="E58" s="9" t="inlineStr"/>
      <c r="F58" s="9" t="inlineStr"/>
      <c r="G58" s="10" t="n">
        <v>136394.5</v>
      </c>
      <c r="H58" s="10" t="n">
        <v>132421.84</v>
      </c>
      <c r="I58" s="10" t="n">
        <v>0</v>
      </c>
      <c r="J58" s="10" t="n">
        <v>0</v>
      </c>
      <c r="K58" s="9" t="inlineStr">
        <is>
          <t>Not Applicable</t>
        </is>
      </c>
      <c r="L58" s="9" t="inlineStr">
        <is>
          <t>Amount Variance</t>
        </is>
      </c>
      <c r="M58" s="10" t="n">
        <v>3972.660000000003</v>
      </c>
      <c r="N58" s="10" t="n">
        <v>0</v>
      </c>
      <c r="O58" s="7" t="inlineStr">
        <is>
          <t>Exception</t>
        </is>
      </c>
      <c r="P58" s="11" t="n">
        <v>46097</v>
      </c>
      <c r="Q58" s="7" t="inlineStr">
        <is>
          <t>Compare invoice, PO and tax/charges</t>
        </is>
      </c>
    </row>
    <row r="59">
      <c r="A59" s="9" t="inlineStr">
        <is>
          <t>V1007</t>
        </is>
      </c>
      <c r="B59" s="9" t="inlineStr">
        <is>
          <t>Granite Manufacturing</t>
        </is>
      </c>
      <c r="C59" s="7" t="inlineStr">
        <is>
          <t>INV-2025-5320</t>
        </is>
      </c>
      <c r="D59" s="9" t="inlineStr">
        <is>
          <t>5106820826</t>
        </is>
      </c>
      <c r="E59" s="9" t="inlineStr">
        <is>
          <t>457469737218</t>
        </is>
      </c>
      <c r="F59" s="9" t="inlineStr">
        <is>
          <t>501257095842</t>
        </is>
      </c>
      <c r="G59" s="10" t="n">
        <v>77738.31</v>
      </c>
      <c r="H59" s="10" t="n">
        <v>77738.31</v>
      </c>
      <c r="I59" s="10" t="n">
        <v>0</v>
      </c>
      <c r="J59" s="10" t="n">
        <v>0</v>
      </c>
      <c r="K59" s="9" t="inlineStr">
        <is>
          <t>Cleared</t>
        </is>
      </c>
      <c r="L59" s="9" t="inlineStr">
        <is>
          <t>Matched</t>
        </is>
      </c>
      <c r="M59" s="10" t="n">
        <v>0</v>
      </c>
      <c r="N59" s="10" t="n">
        <v>0</v>
      </c>
      <c r="O59" s="7" t="inlineStr">
        <is>
          <t>Matched</t>
        </is>
      </c>
      <c r="P59" s="11" t="n">
        <v>46285</v>
      </c>
      <c r="Q59" s="7" t="inlineStr">
        <is>
          <t>No action</t>
        </is>
      </c>
    </row>
    <row r="60">
      <c r="A60" s="9" t="inlineStr">
        <is>
          <t>V1006</t>
        </is>
      </c>
      <c r="B60" s="9" t="inlineStr">
        <is>
          <t>Fairview Logistics</t>
        </is>
      </c>
      <c r="C60" s="7" t="inlineStr">
        <is>
          <t>INV-2025-8312</t>
        </is>
      </c>
      <c r="D60" s="9" t="inlineStr">
        <is>
          <t>5104743125</t>
        </is>
      </c>
      <c r="E60" s="9" t="inlineStr"/>
      <c r="F60" s="9" t="inlineStr">
        <is>
          <t>504471522380</t>
        </is>
      </c>
      <c r="G60" s="10" t="n">
        <v>132221.97</v>
      </c>
      <c r="H60" s="10" t="n">
        <v>132221.97</v>
      </c>
      <c r="I60" s="10" t="n">
        <v>0</v>
      </c>
      <c r="J60" s="10" t="n">
        <v>0</v>
      </c>
      <c r="K60" s="9" t="inlineStr">
        <is>
          <t>Cleared</t>
        </is>
      </c>
      <c r="L60" s="9" t="inlineStr">
        <is>
          <t>Matched</t>
        </is>
      </c>
      <c r="M60" s="10" t="n">
        <v>0</v>
      </c>
      <c r="N60" s="10" t="n">
        <v>0</v>
      </c>
      <c r="O60" s="7" t="inlineStr">
        <is>
          <t>Matched</t>
        </is>
      </c>
      <c r="P60" s="11" t="n">
        <v>46179</v>
      </c>
      <c r="Q60" s="7" t="inlineStr">
        <is>
          <t>No action</t>
        </is>
      </c>
    </row>
    <row r="61">
      <c r="A61" s="9" t="inlineStr">
        <is>
          <t>V1010</t>
        </is>
      </c>
      <c r="B61" s="9" t="inlineStr">
        <is>
          <t>Juniper Components</t>
        </is>
      </c>
      <c r="C61" s="7" t="inlineStr">
        <is>
          <t>INV-2026-4465</t>
        </is>
      </c>
      <c r="D61" s="9" t="inlineStr">
        <is>
          <t>5109606663</t>
        </is>
      </c>
      <c r="E61" s="9" t="inlineStr">
        <is>
          <t>456885410922</t>
        </is>
      </c>
      <c r="F61" s="9" t="inlineStr"/>
      <c r="G61" s="10" t="n">
        <v>13740.64</v>
      </c>
      <c r="H61" s="10" t="n">
        <v>14021.06</v>
      </c>
      <c r="I61" s="10" t="n">
        <v>0</v>
      </c>
      <c r="J61" s="10" t="n">
        <v>0</v>
      </c>
      <c r="K61" s="9" t="inlineStr">
        <is>
          <t>Missing GR</t>
        </is>
      </c>
      <c r="L61" s="9" t="inlineStr">
        <is>
          <t>Amount Variance</t>
        </is>
      </c>
      <c r="M61" s="10" t="n">
        <v>-280.4200000000001</v>
      </c>
      <c r="N61" s="10" t="n">
        <v>0</v>
      </c>
      <c r="O61" s="7" t="inlineStr">
        <is>
          <t>Exception</t>
        </is>
      </c>
      <c r="P61" s="11" t="n">
        <v>46066</v>
      </c>
      <c r="Q61" s="7" t="inlineStr">
        <is>
          <t>Compare invoice, PO and tax/charges</t>
        </is>
      </c>
    </row>
  </sheetData>
  <autoFilter ref="A1:Q61"/>
  <conditionalFormatting sqref="M2:M61">
    <cfRule type="cellIs" priority="1" operator="notEqual" dxfId="0">
      <formula>0</formula>
    </cfRule>
  </conditionalFormatting>
  <conditionalFormatting sqref="N2:N61">
    <cfRule type="cellIs" priority="2" operator="notEqual" dxfId="0">
      <formula>0</formula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28" customWidth="1" min="1" max="1"/>
    <col width="105" customWidth="1" min="2" max="2"/>
  </cols>
  <sheetData>
    <row r="1">
      <c r="A1" s="12" t="inlineStr">
        <is>
          <t>SAP AP/P2P Portfolio Project 2</t>
        </is>
      </c>
    </row>
    <row r="3">
      <c r="A3" s="13" t="inlineStr">
        <is>
          <t>Project</t>
        </is>
      </c>
      <c r="B3" s="7" t="inlineStr">
        <is>
          <t>Vendor Reconciliation &amp; GR/IR Analysis Dashboard</t>
        </is>
      </c>
    </row>
    <row r="4" ht="48" customHeight="1">
      <c r="A4" s="13" t="inlineStr">
        <is>
          <t>Purpose</t>
        </is>
      </c>
      <c r="B4" s="7" t="inlineStr">
        <is>
          <t>Demonstrate vendor statement reconciliation, invoice/payment variance review, and GR/IR exception tracking using fictional data.</t>
        </is>
      </c>
    </row>
    <row r="5" ht="48" customHeight="1">
      <c r="A5" s="13" t="inlineStr">
        <is>
          <t>Data note</t>
        </is>
      </c>
      <c r="B5" s="7" t="inlineStr">
        <is>
          <t>All vendor names, references, documents, and amounts are fictional and for learning/demo only. Not actual SAP extracts or company data.</t>
        </is>
      </c>
    </row>
    <row r="6" ht="48" customHeight="1">
      <c r="A6" s="13" t="inlineStr">
        <is>
          <t>Workflow</t>
        </is>
      </c>
      <c r="B6" s="7" t="inlineStr">
        <is>
          <t>1) Compare vendor statement references and amounts with SAP document data. 2) Review exceptions. 3) Investigate variance and missing-document scenarios. 4) Track GR/IR open items and actions.</t>
        </is>
      </c>
    </row>
    <row r="7" ht="48" customHeight="1">
      <c r="A7" s="13" t="inlineStr">
        <is>
          <t>Suggested interview explanation</t>
        </is>
      </c>
      <c r="B7" s="7" t="inlineStr">
        <is>
          <t>I built an Excel portfolio simulation using fictional vendor statement and SAP-style invoice data to demonstrate reconciliation logic, exception categorization, and GR/IR follow-up. It is not a live SAP integration.</t>
        </is>
      </c>
    </row>
    <row r="8">
      <c r="B8" s="7" t="n"/>
    </row>
    <row r="9">
      <c r="A9" s="13" t="inlineStr">
        <is>
          <t>Sheets</t>
        </is>
      </c>
      <c r="B9" s="7" t="inlineStr">
        <is>
          <t>Dashboard | Reconciliation Data | GR-IR Review | Read Me</t>
        </is>
      </c>
    </row>
  </sheetData>
  <mergeCells count="1">
    <mergeCell ref="A1:F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19" customWidth="1" min="3" max="3"/>
    <col width="18" customWidth="1" min="4" max="4"/>
    <col width="19" customWidth="1" min="5" max="5"/>
    <col width="24" customWidth="1" min="6" max="6"/>
    <col width="17" customWidth="1" min="7" max="7"/>
    <col width="25" customWidth="1" min="8" max="8"/>
    <col width="52" customWidth="1" min="9" max="9"/>
  </cols>
  <sheetData>
    <row r="1" ht="36" customHeight="1">
      <c r="A1" s="14" t="inlineStr">
        <is>
          <t>Vendor ID</t>
        </is>
      </c>
      <c r="B1" s="14" t="inlineStr">
        <is>
          <t>Vendor Name</t>
        </is>
      </c>
      <c r="C1" s="14" t="inlineStr">
        <is>
          <t>SAP Document No.</t>
        </is>
      </c>
      <c r="D1" s="14" t="inlineStr">
        <is>
          <t>PO Number</t>
        </is>
      </c>
      <c r="E1" s="14" t="inlineStr">
        <is>
          <t>GR Document No.</t>
        </is>
      </c>
      <c r="F1" s="14" t="inlineStr">
        <is>
          <t>SAP Invoice Amount (INR)</t>
        </is>
      </c>
      <c r="G1" s="14" t="inlineStr">
        <is>
          <t>GR/IR Status</t>
        </is>
      </c>
      <c r="H1" s="14" t="inlineStr">
        <is>
          <t>Expected Scenario</t>
        </is>
      </c>
      <c r="I1" s="14" t="inlineStr">
        <is>
          <t>Action Required</t>
        </is>
      </c>
    </row>
    <row r="2">
      <c r="A2" s="7" t="inlineStr">
        <is>
          <t>V1009</t>
        </is>
      </c>
      <c r="B2" s="7" t="inlineStr">
        <is>
          <t>Ironwood Consulting</t>
        </is>
      </c>
      <c r="C2" s="7" t="inlineStr">
        <is>
          <t>5107134144</t>
        </is>
      </c>
      <c r="D2" s="7" t="inlineStr">
        <is>
          <t>458135585901</t>
        </is>
      </c>
      <c r="E2" s="7" t="inlineStr"/>
      <c r="F2" s="15" t="n">
        <v>150784.27</v>
      </c>
      <c r="G2" s="7" t="inlineStr">
        <is>
          <t>Missing GR</t>
        </is>
      </c>
      <c r="H2" s="7" t="inlineStr">
        <is>
          <t>Credit Note Missing</t>
        </is>
      </c>
      <c r="I2" s="7" t="inlineStr">
        <is>
          <t>Request/locate credit note and validate balance</t>
        </is>
      </c>
    </row>
    <row r="3">
      <c r="A3" s="7" t="inlineStr">
        <is>
          <t>V1002</t>
        </is>
      </c>
      <c r="B3" s="7" t="inlineStr">
        <is>
          <t>BluePeak Services</t>
        </is>
      </c>
      <c r="C3" s="7" t="inlineStr">
        <is>
          <t>5103375773</t>
        </is>
      </c>
      <c r="D3" s="7" t="inlineStr">
        <is>
          <t>455371565094</t>
        </is>
      </c>
      <c r="E3" s="7" t="inlineStr">
        <is>
          <t>502523174670</t>
        </is>
      </c>
      <c r="F3" s="15" t="n">
        <v>121311.04</v>
      </c>
      <c r="G3" s="7" t="inlineStr">
        <is>
          <t>Open</t>
        </is>
      </c>
      <c r="H3" s="7" t="inlineStr">
        <is>
          <t>GR/IR Open Item</t>
        </is>
      </c>
      <c r="I3" s="7" t="inlineStr">
        <is>
          <t>Review GR/IR item with Procurement/Receiving</t>
        </is>
      </c>
    </row>
    <row r="4">
      <c r="A4" s="7" t="inlineStr">
        <is>
          <t>V1005</t>
        </is>
      </c>
      <c r="B4" s="7" t="inlineStr">
        <is>
          <t>Evergreen IT Services</t>
        </is>
      </c>
      <c r="C4" s="7" t="inlineStr"/>
      <c r="D4" s="7" t="inlineStr">
        <is>
          <t>459231430339</t>
        </is>
      </c>
      <c r="E4" s="7" t="inlineStr"/>
      <c r="F4" s="15" t="n">
        <v>140311.53</v>
      </c>
      <c r="G4" s="7" t="inlineStr">
        <is>
          <t>Missing GR</t>
        </is>
      </c>
      <c r="H4" s="7" t="inlineStr">
        <is>
          <t>Invoice Missing in SAP</t>
        </is>
      </c>
      <c r="I4" s="7" t="inlineStr">
        <is>
          <t>Request invoice copy; verify before posting</t>
        </is>
      </c>
    </row>
    <row r="5">
      <c r="A5" s="7" t="inlineStr">
        <is>
          <t>V1010</t>
        </is>
      </c>
      <c r="B5" s="7" t="inlineStr">
        <is>
          <t>Juniper Components</t>
        </is>
      </c>
      <c r="C5" s="7" t="inlineStr">
        <is>
          <t>5105218101</t>
        </is>
      </c>
      <c r="D5" s="7" t="inlineStr">
        <is>
          <t>452357902600</t>
        </is>
      </c>
      <c r="E5" s="7" t="inlineStr"/>
      <c r="F5" s="15" t="n">
        <v>40441.71</v>
      </c>
      <c r="G5" s="7" t="inlineStr">
        <is>
          <t>Missing GR</t>
        </is>
      </c>
      <c r="H5" s="7" t="inlineStr">
        <is>
          <t>Credit Note Missing</t>
        </is>
      </c>
      <c r="I5" s="7" t="inlineStr">
        <is>
          <t>Request/locate credit note and validate balance</t>
        </is>
      </c>
    </row>
    <row r="6">
      <c r="A6" s="7" t="inlineStr">
        <is>
          <t>V1005</t>
        </is>
      </c>
      <c r="B6" s="7" t="inlineStr">
        <is>
          <t>Evergreen IT Services</t>
        </is>
      </c>
      <c r="C6" s="7" t="inlineStr">
        <is>
          <t>5101825710</t>
        </is>
      </c>
      <c r="D6" s="7" t="inlineStr">
        <is>
          <t>457987090872</t>
        </is>
      </c>
      <c r="E6" s="7" t="inlineStr"/>
      <c r="F6" s="15" t="n">
        <v>149842.92</v>
      </c>
      <c r="G6" s="7" t="inlineStr">
        <is>
          <t>Missing GR</t>
        </is>
      </c>
      <c r="H6" s="7" t="inlineStr">
        <is>
          <t>Matched</t>
        </is>
      </c>
      <c r="I6" s="7" t="inlineStr">
        <is>
          <t>No action</t>
        </is>
      </c>
    </row>
    <row r="7">
      <c r="A7" s="7" t="inlineStr">
        <is>
          <t>V1006</t>
        </is>
      </c>
      <c r="B7" s="7" t="inlineStr">
        <is>
          <t>Fairview Logistics</t>
        </is>
      </c>
      <c r="C7" s="7" t="inlineStr">
        <is>
          <t>5103155967</t>
        </is>
      </c>
      <c r="D7" s="7" t="inlineStr">
        <is>
          <t>453157677074</t>
        </is>
      </c>
      <c r="E7" s="7" t="inlineStr">
        <is>
          <t>503729315984</t>
        </is>
      </c>
      <c r="F7" s="15" t="n">
        <v>140811.82</v>
      </c>
      <c r="G7" s="7" t="inlineStr">
        <is>
          <t>Open</t>
        </is>
      </c>
      <c r="H7" s="7" t="inlineStr">
        <is>
          <t>GR/IR Open Item</t>
        </is>
      </c>
      <c r="I7" s="7" t="inlineStr">
        <is>
          <t>Review GR/IR item with Procurement/Receiving</t>
        </is>
      </c>
    </row>
    <row r="8">
      <c r="A8" s="7" t="inlineStr">
        <is>
          <t>V1006</t>
        </is>
      </c>
      <c r="B8" s="7" t="inlineStr">
        <is>
          <t>Fairview Logistics</t>
        </is>
      </c>
      <c r="C8" s="7" t="inlineStr">
        <is>
          <t>5102452516</t>
        </is>
      </c>
      <c r="D8" s="7" t="inlineStr"/>
      <c r="E8" s="7" t="inlineStr">
        <is>
          <t>505607710755</t>
        </is>
      </c>
      <c r="F8" s="15" t="n">
        <v>21603.9</v>
      </c>
      <c r="G8" s="7" t="inlineStr">
        <is>
          <t>Open</t>
        </is>
      </c>
      <c r="H8" s="7" t="inlineStr">
        <is>
          <t>GR/IR Open Item</t>
        </is>
      </c>
      <c r="I8" s="7" t="inlineStr">
        <is>
          <t>Review GR/IR item with Procurement/Receiving</t>
        </is>
      </c>
    </row>
    <row r="9">
      <c r="A9" s="7" t="inlineStr">
        <is>
          <t>V1006</t>
        </is>
      </c>
      <c r="B9" s="7" t="inlineStr">
        <is>
          <t>Fairview Logistics</t>
        </is>
      </c>
      <c r="C9" s="7" t="inlineStr">
        <is>
          <t>5103508129</t>
        </is>
      </c>
      <c r="D9" s="7" t="inlineStr">
        <is>
          <t>453715651849</t>
        </is>
      </c>
      <c r="E9" s="7" t="inlineStr">
        <is>
          <t>502105739399</t>
        </is>
      </c>
      <c r="F9" s="15" t="n">
        <v>64878.54</v>
      </c>
      <c r="G9" s="7" t="inlineStr">
        <is>
          <t>Open</t>
        </is>
      </c>
      <c r="H9" s="7" t="inlineStr">
        <is>
          <t>GR/IR Open Item</t>
        </is>
      </c>
      <c r="I9" s="7" t="inlineStr">
        <is>
          <t>Review GR/IR item with Procurement/Receiving</t>
        </is>
      </c>
    </row>
    <row r="10">
      <c r="A10" s="7" t="inlineStr">
        <is>
          <t>V1004</t>
        </is>
      </c>
      <c r="B10" s="7" t="inlineStr">
        <is>
          <t>Delta Facilities</t>
        </is>
      </c>
      <c r="C10" s="7" t="inlineStr"/>
      <c r="D10" s="7" t="inlineStr">
        <is>
          <t>455058294514</t>
        </is>
      </c>
      <c r="E10" s="7" t="inlineStr"/>
      <c r="F10" s="15" t="n">
        <v>104394.28</v>
      </c>
      <c r="G10" s="7" t="inlineStr">
        <is>
          <t>Missing GR</t>
        </is>
      </c>
      <c r="H10" s="7" t="inlineStr">
        <is>
          <t>Invoice Missing in SAP</t>
        </is>
      </c>
      <c r="I10" s="7" t="inlineStr">
        <is>
          <t>Request invoice copy; verify before posting</t>
        </is>
      </c>
    </row>
    <row r="11">
      <c r="A11" s="7" t="inlineStr">
        <is>
          <t>V1008</t>
        </is>
      </c>
      <c r="B11" s="7" t="inlineStr">
        <is>
          <t>Harbor Utilities</t>
        </is>
      </c>
      <c r="C11" s="7" t="inlineStr">
        <is>
          <t>5102473994</t>
        </is>
      </c>
      <c r="D11" s="7" t="inlineStr">
        <is>
          <t>458593441133</t>
        </is>
      </c>
      <c r="E11" s="7" t="inlineStr"/>
      <c r="F11" s="15" t="n">
        <v>152071.83</v>
      </c>
      <c r="G11" s="7" t="inlineStr">
        <is>
          <t>Missing GR</t>
        </is>
      </c>
      <c r="H11" s="7" t="inlineStr">
        <is>
          <t>GR/IR Open Item</t>
        </is>
      </c>
      <c r="I11" s="7" t="inlineStr">
        <is>
          <t>Review GR/IR item with Procurement/Receiving</t>
        </is>
      </c>
    </row>
    <row r="12">
      <c r="A12" s="7" t="inlineStr">
        <is>
          <t>V1008</t>
        </is>
      </c>
      <c r="B12" s="7" t="inlineStr">
        <is>
          <t>Harbor Utilities</t>
        </is>
      </c>
      <c r="C12" s="7" t="inlineStr">
        <is>
          <t>5104086398</t>
        </is>
      </c>
      <c r="D12" s="7" t="inlineStr">
        <is>
          <t>451553741768</t>
        </is>
      </c>
      <c r="E12" s="7" t="inlineStr"/>
      <c r="F12" s="15" t="n">
        <v>177833.35</v>
      </c>
      <c r="G12" s="7" t="inlineStr">
        <is>
          <t>Missing GR</t>
        </is>
      </c>
      <c r="H12" s="7" t="inlineStr">
        <is>
          <t>Matched</t>
        </is>
      </c>
      <c r="I12" s="7" t="inlineStr">
        <is>
          <t>No action</t>
        </is>
      </c>
    </row>
    <row r="13">
      <c r="A13" s="7" t="inlineStr">
        <is>
          <t>V1010</t>
        </is>
      </c>
      <c r="B13" s="7" t="inlineStr">
        <is>
          <t>Juniper Components</t>
        </is>
      </c>
      <c r="C13" s="7" t="inlineStr">
        <is>
          <t>5107348859</t>
        </is>
      </c>
      <c r="D13" s="7" t="inlineStr">
        <is>
          <t>459897845742</t>
        </is>
      </c>
      <c r="E13" s="7" t="inlineStr"/>
      <c r="F13" s="15" t="n">
        <v>102045.87</v>
      </c>
      <c r="G13" s="7" t="inlineStr">
        <is>
          <t>Missing GR</t>
        </is>
      </c>
      <c r="H13" s="7" t="inlineStr">
        <is>
          <t>Payment Missing in Statement</t>
        </is>
      </c>
      <c r="I13" s="7" t="inlineStr">
        <is>
          <t>Check remittance advice and vendor statement</t>
        </is>
      </c>
    </row>
    <row r="14">
      <c r="A14" s="7" t="inlineStr">
        <is>
          <t>V1005</t>
        </is>
      </c>
      <c r="B14" s="7" t="inlineStr">
        <is>
          <t>Evergreen IT Services</t>
        </is>
      </c>
      <c r="C14" s="7" t="inlineStr">
        <is>
          <t>5109411128</t>
        </is>
      </c>
      <c r="D14" s="7" t="inlineStr">
        <is>
          <t>457350967683</t>
        </is>
      </c>
      <c r="E14" s="7" t="inlineStr"/>
      <c r="F14" s="15" t="n">
        <v>167418.01</v>
      </c>
      <c r="G14" s="7" t="inlineStr">
        <is>
          <t>Missing GR</t>
        </is>
      </c>
      <c r="H14" s="7" t="inlineStr">
        <is>
          <t>Amount Variance</t>
        </is>
      </c>
      <c r="I14" s="7" t="inlineStr">
        <is>
          <t>Compare invoice, PO and tax/charges</t>
        </is>
      </c>
    </row>
    <row r="15">
      <c r="A15" s="7" t="inlineStr">
        <is>
          <t>V1008</t>
        </is>
      </c>
      <c r="B15" s="7" t="inlineStr">
        <is>
          <t>Harbor Utilities</t>
        </is>
      </c>
      <c r="C15" s="7" t="inlineStr">
        <is>
          <t>5102905576</t>
        </is>
      </c>
      <c r="D15" s="7" t="inlineStr">
        <is>
          <t>458952324624</t>
        </is>
      </c>
      <c r="E15" s="7" t="inlineStr"/>
      <c r="F15" s="15" t="n">
        <v>181203.14</v>
      </c>
      <c r="G15" s="7" t="inlineStr">
        <is>
          <t>Missing GR</t>
        </is>
      </c>
      <c r="H15" s="7" t="inlineStr">
        <is>
          <t>Amount Variance</t>
        </is>
      </c>
      <c r="I15" s="7" t="inlineStr">
        <is>
          <t>Compare invoice, PO and tax/charges</t>
        </is>
      </c>
    </row>
    <row r="16">
      <c r="A16" s="7" t="inlineStr">
        <is>
          <t>V1008</t>
        </is>
      </c>
      <c r="B16" s="7" t="inlineStr">
        <is>
          <t>Harbor Utilities</t>
        </is>
      </c>
      <c r="C16" s="7" t="inlineStr">
        <is>
          <t>5105499658</t>
        </is>
      </c>
      <c r="D16" s="7" t="inlineStr">
        <is>
          <t>455898263551</t>
        </is>
      </c>
      <c r="E16" s="7" t="inlineStr"/>
      <c r="F16" s="15" t="n">
        <v>128071.33</v>
      </c>
      <c r="G16" s="7" t="inlineStr">
        <is>
          <t>Missing GR</t>
        </is>
      </c>
      <c r="H16" s="7" t="inlineStr">
        <is>
          <t>Matched</t>
        </is>
      </c>
      <c r="I16" s="7" t="inlineStr">
        <is>
          <t>No action</t>
        </is>
      </c>
    </row>
    <row r="17">
      <c r="A17" s="7" t="inlineStr">
        <is>
          <t>V1006</t>
        </is>
      </c>
      <c r="B17" s="7" t="inlineStr">
        <is>
          <t>Fairview Logistics</t>
        </is>
      </c>
      <c r="C17" s="7" t="inlineStr">
        <is>
          <t>5101959525</t>
        </is>
      </c>
      <c r="D17" s="7" t="inlineStr">
        <is>
          <t>457305259378</t>
        </is>
      </c>
      <c r="E17" s="7" t="inlineStr">
        <is>
          <t>505110449996</t>
        </is>
      </c>
      <c r="F17" s="15" t="n">
        <v>171962.48</v>
      </c>
      <c r="G17" s="7" t="inlineStr">
        <is>
          <t>Open</t>
        </is>
      </c>
      <c r="H17" s="7" t="inlineStr">
        <is>
          <t>GR/IR Open Item</t>
        </is>
      </c>
      <c r="I17" s="7" t="inlineStr">
        <is>
          <t>Review GR/IR item with Procurement/Receiving</t>
        </is>
      </c>
    </row>
    <row r="18">
      <c r="A18" s="7" t="inlineStr">
        <is>
          <t>V1005</t>
        </is>
      </c>
      <c r="B18" s="7" t="inlineStr">
        <is>
          <t>Evergreen IT Services</t>
        </is>
      </c>
      <c r="C18" s="7" t="inlineStr"/>
      <c r="D18" s="7" t="inlineStr">
        <is>
          <t>456658122042</t>
        </is>
      </c>
      <c r="E18" s="7" t="inlineStr"/>
      <c r="F18" s="15" t="n">
        <v>107609.29</v>
      </c>
      <c r="G18" s="7" t="inlineStr">
        <is>
          <t>Missing GR</t>
        </is>
      </c>
      <c r="H18" s="7" t="inlineStr">
        <is>
          <t>Invoice Missing in SAP</t>
        </is>
      </c>
      <c r="I18" s="7" t="inlineStr">
        <is>
          <t>Request invoice copy; verify before posting</t>
        </is>
      </c>
    </row>
    <row r="19">
      <c r="A19" s="7" t="inlineStr">
        <is>
          <t>V1003</t>
        </is>
      </c>
      <c r="B19" s="7" t="inlineStr">
        <is>
          <t>Cedar Industrial</t>
        </is>
      </c>
      <c r="C19" s="7" t="inlineStr">
        <is>
          <t>5108463304</t>
        </is>
      </c>
      <c r="D19" s="7" t="inlineStr"/>
      <c r="E19" s="7" t="inlineStr">
        <is>
          <t>508298747315</t>
        </is>
      </c>
      <c r="F19" s="15" t="n">
        <v>97822.98</v>
      </c>
      <c r="G19" s="7" t="inlineStr">
        <is>
          <t>Open</t>
        </is>
      </c>
      <c r="H19" s="7" t="inlineStr">
        <is>
          <t>GR/IR Open Item</t>
        </is>
      </c>
      <c r="I19" s="7" t="inlineStr">
        <is>
          <t>Review GR/IR item with Procurement/Receiving</t>
        </is>
      </c>
    </row>
    <row r="20">
      <c r="A20" s="7" t="inlineStr">
        <is>
          <t>V1010</t>
        </is>
      </c>
      <c r="B20" s="7" t="inlineStr">
        <is>
          <t>Juniper Components</t>
        </is>
      </c>
      <c r="C20" s="7" t="inlineStr">
        <is>
          <t>5103261621</t>
        </is>
      </c>
      <c r="D20" s="7" t="inlineStr">
        <is>
          <t>453610924539</t>
        </is>
      </c>
      <c r="E20" s="7" t="inlineStr">
        <is>
          <t>502797890046</t>
        </is>
      </c>
      <c r="F20" s="15" t="n">
        <v>64222.77</v>
      </c>
      <c r="G20" s="7" t="inlineStr">
        <is>
          <t>Open</t>
        </is>
      </c>
      <c r="H20" s="7" t="inlineStr">
        <is>
          <t>GR/IR Open Item</t>
        </is>
      </c>
      <c r="I20" s="7" t="inlineStr">
        <is>
          <t>Review GR/IR item with Procurement/Receiving</t>
        </is>
      </c>
    </row>
    <row r="21">
      <c r="A21" s="7" t="inlineStr">
        <is>
          <t>V1010</t>
        </is>
      </c>
      <c r="B21" s="7" t="inlineStr">
        <is>
          <t>Juniper Components</t>
        </is>
      </c>
      <c r="C21" s="7" t="inlineStr">
        <is>
          <t>5109606663</t>
        </is>
      </c>
      <c r="D21" s="7" t="inlineStr">
        <is>
          <t>456885410922</t>
        </is>
      </c>
      <c r="E21" s="7" t="inlineStr"/>
      <c r="F21" s="15" t="n">
        <v>14021.06</v>
      </c>
      <c r="G21" s="7" t="inlineStr">
        <is>
          <t>Missing GR</t>
        </is>
      </c>
      <c r="H21" s="7" t="inlineStr">
        <is>
          <t>Amount Variance</t>
        </is>
      </c>
      <c r="I21" s="7" t="inlineStr">
        <is>
          <t>Compare invoice, PO and tax/charges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2026-10-12T07:11:06Z</dcterms:created>
  <dcterms:modified xmlns:dcterms="http://purl.org/dc/terms/" xmlns:xsi="http://www.w3.org/2001/XMLSchema-instance" xsi:type="dcterms:W3CDTF">2026-10-12T07:11:06Z</dcterms:modified>
</cp:coreProperties>
</file>